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rd" sheetId="1" r:id="rId4"/>
    <sheet state="visible" name="All" sheetId="2" r:id="rId5"/>
  </sheets>
  <definedNames/>
  <calcPr/>
  <extLst>
    <ext uri="GoogleSheetsCustomDataVersion2">
      <go:sheetsCustomData xmlns:go="http://customooxmlschemas.google.com/" r:id="rId6" roundtripDataChecksum="NhzIjHwCx+cW7AFe4FSQ587R7wQ4RNfaXGIacgj2Gl0="/>
    </ext>
  </extLst>
</workbook>
</file>

<file path=xl/sharedStrings.xml><?xml version="1.0" encoding="utf-8"?>
<sst xmlns="http://schemas.openxmlformats.org/spreadsheetml/2006/main" count="303" uniqueCount="75">
  <si>
    <t>Legend:</t>
  </si>
  <si>
    <t>MM-GS1</t>
  </si>
  <si>
    <t>Played</t>
  </si>
  <si>
    <t>Absent</t>
  </si>
  <si>
    <t>Spectate</t>
  </si>
  <si>
    <t>Added</t>
  </si>
  <si>
    <t>N/A</t>
  </si>
  <si>
    <t>-</t>
  </si>
  <si>
    <t>TOTAL PRESENT</t>
  </si>
  <si>
    <t>Activity:</t>
  </si>
  <si>
    <t>Discord (Among Us)</t>
  </si>
  <si>
    <t>Batch</t>
  </si>
  <si>
    <t>Name</t>
  </si>
  <si>
    <t>Expected</t>
  </si>
  <si>
    <t>Alpha</t>
  </si>
  <si>
    <t>Rommel</t>
  </si>
  <si>
    <t>Nimble</t>
  </si>
  <si>
    <t>Kish</t>
  </si>
  <si>
    <t>Pril</t>
  </si>
  <si>
    <t>Omicron</t>
  </si>
  <si>
    <t>Dyd</t>
  </si>
  <si>
    <t>Em</t>
  </si>
  <si>
    <t>Henry</t>
  </si>
  <si>
    <t>Kyez</t>
  </si>
  <si>
    <t>Lang</t>
  </si>
  <si>
    <t>Sandbox</t>
  </si>
  <si>
    <t>Alvin</t>
  </si>
  <si>
    <t>Cm</t>
  </si>
  <si>
    <t>Emand</t>
  </si>
  <si>
    <t>Jason</t>
  </si>
  <si>
    <t>Niña</t>
  </si>
  <si>
    <t>Rex</t>
  </si>
  <si>
    <t>Steff</t>
  </si>
  <si>
    <t>Mirai</t>
  </si>
  <si>
    <t>Abbie</t>
  </si>
  <si>
    <t>Criez</t>
  </si>
  <si>
    <t>Jj</t>
  </si>
  <si>
    <t>Matt</t>
  </si>
  <si>
    <t>Otep</t>
  </si>
  <si>
    <t>Rey</t>
  </si>
  <si>
    <t>She</t>
  </si>
  <si>
    <t>Nexus</t>
  </si>
  <si>
    <t>Kini</t>
  </si>
  <si>
    <t>Lorenzo</t>
  </si>
  <si>
    <t>Maks</t>
  </si>
  <si>
    <t>Pierre</t>
  </si>
  <si>
    <t>Rocyn</t>
  </si>
  <si>
    <t>Thea</t>
  </si>
  <si>
    <t>Aether</t>
  </si>
  <si>
    <t>Adrielle</t>
  </si>
  <si>
    <t>Charlene</t>
  </si>
  <si>
    <t>Gabo</t>
  </si>
  <si>
    <t>Mads</t>
  </si>
  <si>
    <t>Mika</t>
  </si>
  <si>
    <t>Raf</t>
  </si>
  <si>
    <t>DTPH</t>
  </si>
  <si>
    <t>Matsuoka</t>
  </si>
  <si>
    <t>Oishi</t>
  </si>
  <si>
    <t>Dani</t>
  </si>
  <si>
    <t>Tommy</t>
  </si>
  <si>
    <t>DTJP</t>
  </si>
  <si>
    <t>Niimi</t>
  </si>
  <si>
    <t>Ryota</t>
  </si>
  <si>
    <t>Aoi</t>
  </si>
  <si>
    <t>Hachiko</t>
  </si>
  <si>
    <t>Alex</t>
  </si>
  <si>
    <t>Dhar</t>
  </si>
  <si>
    <t>Law</t>
  </si>
  <si>
    <t>Jl</t>
  </si>
  <si>
    <t>Isaac</t>
  </si>
  <si>
    <t>Fred</t>
  </si>
  <si>
    <t>JP Visitor (Kuya J)</t>
  </si>
  <si>
    <t>Farewell Party</t>
  </si>
  <si>
    <t>B30 Welcome</t>
  </si>
  <si>
    <t>Olympecs (BBall)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</si>
</sst>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</font>
    <font>
      <b/>
      <sz val="11.0"/>
      <color rgb="FFF3F3F3"/>
      <name val="Calibri"/>
    </font>
    <font>
      <sz val="11.0"/>
      <color rgb="FFB6D7A8"/>
      <name val="Calibri"/>
    </font>
    <font>
      <color rgb="FFB6D7A8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9F9F1"/>
        <bgColor rgb="FFE9F9F1"/>
      </patternFill>
    </fill>
    <fill>
      <patternFill patternType="solid">
        <fgColor rgb="FFE7E6E6"/>
        <bgColor rgb="FFE7E6E6"/>
      </patternFill>
    </fill>
    <fill>
      <patternFill patternType="solid">
        <fgColor rgb="FFFFF6E1"/>
        <bgColor rgb="FFFFF6E1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readingOrder="0" vertical="center"/>
    </xf>
    <xf borderId="3" fillId="3" fontId="5" numFmtId="0" xfId="0" applyAlignment="1" applyBorder="1" applyFont="1">
      <alignment vertical="center"/>
    </xf>
    <xf borderId="2" fillId="3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2" fillId="4" fontId="1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vertical="center"/>
    </xf>
    <xf borderId="6" fillId="4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shrinkToFit="0" vertical="center" wrapText="1"/>
    </xf>
    <xf borderId="7" fillId="4" fontId="1" numFmtId="0" xfId="0" applyAlignment="1" applyBorder="1" applyFont="1">
      <alignment horizontal="center" readingOrder="0" vertical="center"/>
    </xf>
    <xf borderId="4" fillId="5" fontId="3" numFmtId="0" xfId="0" applyAlignment="1" applyBorder="1" applyFill="1" applyFont="1">
      <alignment readingOrder="0" vertical="center"/>
    </xf>
    <xf borderId="5" fillId="5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8" fillId="0" fontId="1" numFmtId="0" xfId="0" applyAlignment="1" applyBorder="1" applyFont="1">
      <alignment vertical="center"/>
    </xf>
    <xf borderId="9" fillId="4" fontId="1" numFmtId="0" xfId="0" applyAlignment="1" applyBorder="1" applyFont="1">
      <alignment horizontal="center" readingOrder="0"/>
    </xf>
    <xf borderId="8" fillId="6" fontId="6" numFmtId="0" xfId="0" applyAlignment="1" applyBorder="1" applyFill="1" applyFont="1">
      <alignment readingOrder="0" vertical="center"/>
    </xf>
    <xf borderId="10" fillId="0" fontId="2" numFmtId="0" xfId="0" applyBorder="1" applyFont="1"/>
    <xf borderId="11" fillId="6" fontId="6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2" fillId="2" fontId="7" numFmtId="0" xfId="0" applyAlignment="1" applyBorder="1" applyFont="1">
      <alignment horizontal="left" vertical="center"/>
    </xf>
    <xf borderId="13" fillId="2" fontId="3" numFmtId="0" xfId="0" applyBorder="1" applyFont="1"/>
    <xf borderId="13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/>
    </xf>
    <xf borderId="14" fillId="0" fontId="2" numFmtId="0" xfId="0" applyBorder="1" applyFont="1"/>
    <xf borderId="0" fillId="0" fontId="7" numFmtId="0" xfId="0" applyAlignment="1" applyFont="1">
      <alignment horizontal="center"/>
    </xf>
    <xf borderId="0" fillId="7" fontId="8" numFmtId="15" xfId="0" applyAlignment="1" applyFill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5" fillId="3" fontId="9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/>
    </xf>
    <xf borderId="0" fillId="0" fontId="1" numFmtId="0" xfId="0" applyAlignment="1" applyFont="1">
      <alignment horizontal="left" vertical="center"/>
    </xf>
    <xf borderId="0" fillId="0" fontId="3" numFmtId="0" xfId="0" applyFont="1"/>
    <xf borderId="15" fillId="4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 vertical="center"/>
    </xf>
    <xf borderId="11" fillId="5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/>
    </xf>
    <xf borderId="0" fillId="5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14" fillId="2" fontId="1" numFmtId="0" xfId="0" applyAlignment="1" applyBorder="1" applyFont="1">
      <alignment horizontal="center" readingOrder="0" shrinkToFit="0" vertical="center" wrapText="1"/>
    </xf>
    <xf borderId="0" fillId="7" fontId="8" numFmtId="15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>
        <color rgb="FF6AA84F"/>
      </font>
      <fill>
        <patternFill patternType="solid">
          <fgColor rgb="FFA8D08D"/>
          <bgColor rgb="FFA8D08D"/>
        </patternFill>
      </fill>
      <border/>
    </dxf>
    <dxf>
      <font>
        <color rgb="FFF4CCCC"/>
      </font>
      <fill>
        <patternFill patternType="solid">
          <fgColor rgb="FFFBE4D5"/>
          <bgColor rgb="FFFBE4D5"/>
        </patternFill>
      </fill>
      <border/>
    </dxf>
    <dxf>
      <font>
        <color rgb="FFFFD966"/>
      </font>
      <fill>
        <patternFill patternType="solid">
          <fgColor rgb="FFFFE598"/>
          <bgColor rgb="FFFFE598"/>
        </patternFill>
      </fill>
      <border/>
    </dxf>
    <dxf>
      <font>
        <color rgb="FFB7B7B7"/>
      </font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3.71"/>
    <col customWidth="1" min="2" max="3" width="11.14"/>
    <col customWidth="1" min="4" max="4" width="5.0"/>
    <col customWidth="1" min="5" max="5" width="11.14"/>
    <col customWidth="1" min="6" max="6" width="11.29"/>
    <col customWidth="1" min="7" max="7" width="13.14"/>
    <col customWidth="1" min="8" max="9" width="12.71"/>
    <col customWidth="1" min="10" max="25" width="8.71"/>
  </cols>
  <sheetData>
    <row r="1" ht="14.25" customHeight="1"/>
    <row r="2" ht="14.25" customHeight="1">
      <c r="B2" s="1" t="s">
        <v>0</v>
      </c>
      <c r="C2" s="2"/>
      <c r="E2" s="3" t="s">
        <v>1</v>
      </c>
      <c r="F2" s="4" t="s">
        <v>2</v>
      </c>
      <c r="G2" s="5"/>
      <c r="H2" s="6">
        <f t="shared" ref="H2:I2" si="1">COUNTIF(H10:H43, "1")</f>
        <v>12</v>
      </c>
      <c r="I2" s="6">
        <f t="shared" si="1"/>
        <v>11</v>
      </c>
    </row>
    <row r="3" ht="14.25" customHeight="1">
      <c r="B3" s="7" t="s">
        <v>3</v>
      </c>
      <c r="C3" s="8">
        <v>0.0</v>
      </c>
      <c r="F3" s="9" t="s">
        <v>3</v>
      </c>
      <c r="G3" s="10"/>
      <c r="H3" s="11">
        <f t="shared" ref="H3:I3" si="2">COUNTIF(H10:H43, "0")</f>
        <v>16</v>
      </c>
      <c r="I3" s="11">
        <f t="shared" si="2"/>
        <v>19</v>
      </c>
    </row>
    <row r="4" ht="14.25" customHeight="1">
      <c r="B4" s="12" t="s">
        <v>2</v>
      </c>
      <c r="C4" s="13">
        <v>1.0</v>
      </c>
      <c r="F4" s="9" t="s">
        <v>4</v>
      </c>
      <c r="G4" s="10"/>
      <c r="H4" s="11">
        <f t="shared" ref="H4:I4" si="3">COUNTIF(H10:H43, "2")</f>
        <v>6</v>
      </c>
      <c r="I4" s="11">
        <f t="shared" si="3"/>
        <v>4</v>
      </c>
    </row>
    <row r="5" ht="14.25" customHeight="1">
      <c r="B5" s="14" t="s">
        <v>4</v>
      </c>
      <c r="C5" s="15">
        <v>2.0</v>
      </c>
      <c r="F5" s="16" t="s">
        <v>5</v>
      </c>
      <c r="H5" s="17">
        <f t="shared" ref="H5:I5" si="4">COUNTIF(H45:H61, "1")+COUNTIF(H45:H61, "2")</f>
        <v>2</v>
      </c>
      <c r="I5" s="17">
        <f t="shared" si="4"/>
        <v>3</v>
      </c>
    </row>
    <row r="6" ht="14.25" customHeight="1">
      <c r="A6" s="18"/>
      <c r="B6" s="19" t="s">
        <v>6</v>
      </c>
      <c r="C6" s="20" t="s">
        <v>7</v>
      </c>
      <c r="F6" s="21" t="s">
        <v>8</v>
      </c>
      <c r="G6" s="22"/>
      <c r="H6" s="23">
        <f t="shared" ref="H6:I6" si="5">H2+H5+H4</f>
        <v>20</v>
      </c>
      <c r="I6" s="23">
        <f t="shared" si="5"/>
        <v>18</v>
      </c>
    </row>
    <row r="7" ht="14.25" customHeight="1">
      <c r="A7" s="18"/>
    </row>
    <row r="8" ht="31.5" customHeight="1">
      <c r="A8" s="24"/>
      <c r="E8" s="25" t="s">
        <v>9</v>
      </c>
      <c r="F8" s="26"/>
      <c r="G8" s="27"/>
      <c r="H8" s="28" t="s">
        <v>10</v>
      </c>
      <c r="I8" s="29" t="s">
        <v>10</v>
      </c>
    </row>
    <row r="9" ht="14.25" customHeight="1">
      <c r="A9" s="18"/>
      <c r="B9" s="30" t="s">
        <v>0</v>
      </c>
      <c r="C9" s="31"/>
      <c r="F9" s="32" t="s">
        <v>11</v>
      </c>
      <c r="G9" s="32" t="s">
        <v>12</v>
      </c>
      <c r="H9" s="33">
        <v>45850.0</v>
      </c>
      <c r="I9" s="33">
        <v>45871.0</v>
      </c>
    </row>
    <row r="10" ht="14.25" customHeight="1">
      <c r="B10" s="34" t="s">
        <v>13</v>
      </c>
      <c r="C10" s="35">
        <v>34.0</v>
      </c>
      <c r="E10" s="36">
        <v>1.0</v>
      </c>
      <c r="F10" s="37" t="s">
        <v>14</v>
      </c>
      <c r="G10" s="38" t="s">
        <v>15</v>
      </c>
      <c r="H10" s="39">
        <v>0.0</v>
      </c>
      <c r="I10" s="39">
        <v>1.0</v>
      </c>
    </row>
    <row r="11" ht="14.25" customHeight="1">
      <c r="B11" s="40" t="s">
        <v>5</v>
      </c>
      <c r="C11" s="41"/>
      <c r="E11" s="36">
        <v>2.0</v>
      </c>
      <c r="F11" s="37" t="s">
        <v>16</v>
      </c>
      <c r="G11" s="38" t="s">
        <v>17</v>
      </c>
      <c r="H11" s="39">
        <v>1.0</v>
      </c>
      <c r="I11" s="39">
        <v>0.0</v>
      </c>
    </row>
    <row r="12" ht="14.25" customHeight="1">
      <c r="B12" s="42"/>
      <c r="C12" s="42"/>
      <c r="E12" s="36">
        <v>3.0</v>
      </c>
      <c r="F12" s="37" t="s">
        <v>16</v>
      </c>
      <c r="G12" s="38" t="s">
        <v>18</v>
      </c>
      <c r="H12" s="39">
        <v>0.0</v>
      </c>
      <c r="I12" s="39">
        <v>0.0</v>
      </c>
    </row>
    <row r="13" ht="14.25" customHeight="1">
      <c r="B13" s="18"/>
      <c r="C13" s="18"/>
      <c r="E13" s="36">
        <v>4.0</v>
      </c>
      <c r="F13" s="37" t="s">
        <v>19</v>
      </c>
      <c r="G13" s="38" t="s">
        <v>20</v>
      </c>
      <c r="H13" s="39">
        <v>0.0</v>
      </c>
      <c r="I13" s="39">
        <v>0.0</v>
      </c>
    </row>
    <row r="14" ht="14.25" customHeight="1">
      <c r="E14" s="36">
        <v>5.0</v>
      </c>
      <c r="F14" s="37" t="s">
        <v>19</v>
      </c>
      <c r="G14" s="38" t="s">
        <v>21</v>
      </c>
      <c r="H14" s="39">
        <v>0.0</v>
      </c>
      <c r="I14" s="39">
        <v>1.0</v>
      </c>
    </row>
    <row r="15" ht="14.25" customHeight="1">
      <c r="E15" s="36">
        <v>6.0</v>
      </c>
      <c r="F15" s="37" t="s">
        <v>19</v>
      </c>
      <c r="G15" s="38" t="s">
        <v>22</v>
      </c>
      <c r="H15" s="39">
        <v>2.0</v>
      </c>
      <c r="I15" s="39">
        <v>0.0</v>
      </c>
    </row>
    <row r="16" ht="14.25" customHeight="1">
      <c r="E16" s="36">
        <v>7.0</v>
      </c>
      <c r="F16" s="37" t="s">
        <v>19</v>
      </c>
      <c r="G16" s="38" t="s">
        <v>23</v>
      </c>
      <c r="H16" s="39">
        <v>2.0</v>
      </c>
      <c r="I16" s="39">
        <v>0.0</v>
      </c>
    </row>
    <row r="17" ht="14.25" customHeight="1">
      <c r="E17" s="36">
        <v>8.0</v>
      </c>
      <c r="F17" s="37" t="s">
        <v>19</v>
      </c>
      <c r="G17" s="38" t="s">
        <v>24</v>
      </c>
      <c r="H17" s="39">
        <v>0.0</v>
      </c>
      <c r="I17" s="39">
        <v>0.0</v>
      </c>
    </row>
    <row r="18" ht="14.25" customHeight="1">
      <c r="E18" s="36">
        <v>9.0</v>
      </c>
      <c r="F18" s="37" t="s">
        <v>25</v>
      </c>
      <c r="G18" s="38" t="s">
        <v>26</v>
      </c>
      <c r="H18" s="39">
        <v>1.0</v>
      </c>
      <c r="I18" s="39">
        <v>0.0</v>
      </c>
    </row>
    <row r="19" ht="14.25" customHeight="1">
      <c r="E19" s="36">
        <v>10.0</v>
      </c>
      <c r="F19" s="37" t="s">
        <v>25</v>
      </c>
      <c r="G19" s="38" t="s">
        <v>27</v>
      </c>
      <c r="H19" s="39">
        <v>0.0</v>
      </c>
      <c r="I19" s="39">
        <v>0.0</v>
      </c>
    </row>
    <row r="20" ht="14.25" customHeight="1">
      <c r="E20" s="36">
        <v>11.0</v>
      </c>
      <c r="F20" s="37" t="s">
        <v>25</v>
      </c>
      <c r="G20" s="38" t="s">
        <v>28</v>
      </c>
      <c r="H20" s="39">
        <v>1.0</v>
      </c>
      <c r="I20" s="39">
        <v>0.0</v>
      </c>
    </row>
    <row r="21" ht="14.25" customHeight="1">
      <c r="E21" s="36">
        <v>12.0</v>
      </c>
      <c r="F21" s="37" t="s">
        <v>25</v>
      </c>
      <c r="G21" s="38" t="s">
        <v>29</v>
      </c>
      <c r="H21" s="39">
        <v>0.0</v>
      </c>
      <c r="I21" s="39">
        <v>0.0</v>
      </c>
    </row>
    <row r="22" ht="14.25" customHeight="1">
      <c r="E22" s="36">
        <v>13.0</v>
      </c>
      <c r="F22" s="37" t="s">
        <v>25</v>
      </c>
      <c r="G22" s="38" t="s">
        <v>30</v>
      </c>
      <c r="H22" s="39">
        <v>1.0</v>
      </c>
      <c r="I22" s="39">
        <v>1.0</v>
      </c>
    </row>
    <row r="23" ht="14.25" customHeight="1">
      <c r="E23" s="36">
        <v>14.0</v>
      </c>
      <c r="F23" s="37" t="s">
        <v>25</v>
      </c>
      <c r="G23" s="38" t="s">
        <v>31</v>
      </c>
      <c r="H23" s="39">
        <v>0.0</v>
      </c>
      <c r="I23" s="39">
        <v>0.0</v>
      </c>
    </row>
    <row r="24" ht="14.25" customHeight="1">
      <c r="E24" s="36">
        <v>15.0</v>
      </c>
      <c r="F24" s="37" t="s">
        <v>25</v>
      </c>
      <c r="G24" s="38" t="s">
        <v>32</v>
      </c>
      <c r="H24" s="39">
        <v>1.0</v>
      </c>
      <c r="I24" s="39">
        <v>0.0</v>
      </c>
    </row>
    <row r="25" ht="14.25" customHeight="1">
      <c r="E25" s="36">
        <v>16.0</v>
      </c>
      <c r="F25" s="37" t="s">
        <v>33</v>
      </c>
      <c r="G25" s="38" t="s">
        <v>34</v>
      </c>
      <c r="H25" s="39">
        <v>0.0</v>
      </c>
      <c r="I25" s="39">
        <v>0.0</v>
      </c>
    </row>
    <row r="26" ht="14.25" customHeight="1">
      <c r="E26" s="36">
        <v>17.0</v>
      </c>
      <c r="F26" s="37" t="s">
        <v>33</v>
      </c>
      <c r="G26" s="38" t="s">
        <v>35</v>
      </c>
      <c r="H26" s="39">
        <v>1.0</v>
      </c>
      <c r="I26" s="39">
        <v>1.0</v>
      </c>
    </row>
    <row r="27" ht="14.25" customHeight="1">
      <c r="E27" s="36">
        <v>18.0</v>
      </c>
      <c r="F27" s="37" t="s">
        <v>33</v>
      </c>
      <c r="G27" s="38" t="s">
        <v>36</v>
      </c>
      <c r="H27" s="39">
        <v>0.0</v>
      </c>
      <c r="I27" s="39">
        <v>0.0</v>
      </c>
    </row>
    <row r="28" ht="14.25" customHeight="1">
      <c r="E28" s="36">
        <v>19.0</v>
      </c>
      <c r="F28" s="37" t="s">
        <v>33</v>
      </c>
      <c r="G28" s="38" t="s">
        <v>37</v>
      </c>
      <c r="H28" s="39">
        <v>1.0</v>
      </c>
      <c r="I28" s="39">
        <v>0.0</v>
      </c>
    </row>
    <row r="29" ht="14.25" customHeight="1">
      <c r="E29" s="36">
        <v>20.0</v>
      </c>
      <c r="F29" s="37" t="s">
        <v>33</v>
      </c>
      <c r="G29" s="38" t="s">
        <v>38</v>
      </c>
      <c r="H29" s="39">
        <v>1.0</v>
      </c>
      <c r="I29" s="39">
        <v>1.0</v>
      </c>
    </row>
    <row r="30" ht="14.25" customHeight="1">
      <c r="E30" s="36">
        <v>21.0</v>
      </c>
      <c r="F30" s="37" t="s">
        <v>33</v>
      </c>
      <c r="G30" s="38" t="s">
        <v>39</v>
      </c>
      <c r="H30" s="39">
        <v>1.0</v>
      </c>
      <c r="I30" s="39">
        <v>1.0</v>
      </c>
    </row>
    <row r="31" ht="14.25" customHeight="1">
      <c r="E31" s="36">
        <v>22.0</v>
      </c>
      <c r="F31" s="37" t="s">
        <v>33</v>
      </c>
      <c r="G31" s="38" t="s">
        <v>40</v>
      </c>
      <c r="H31" s="39">
        <v>0.0</v>
      </c>
      <c r="I31" s="39">
        <v>1.0</v>
      </c>
    </row>
    <row r="32" ht="14.25" customHeight="1">
      <c r="E32" s="36">
        <v>23.0</v>
      </c>
      <c r="F32" s="37" t="s">
        <v>41</v>
      </c>
      <c r="G32" s="38" t="s">
        <v>42</v>
      </c>
      <c r="H32" s="39">
        <v>0.0</v>
      </c>
      <c r="I32" s="39">
        <v>0.0</v>
      </c>
    </row>
    <row r="33" ht="14.25" customHeight="1">
      <c r="E33" s="36">
        <v>24.0</v>
      </c>
      <c r="F33" s="37" t="s">
        <v>41</v>
      </c>
      <c r="G33" s="38" t="s">
        <v>43</v>
      </c>
      <c r="H33" s="39">
        <v>0.0</v>
      </c>
      <c r="I33" s="39">
        <v>0.0</v>
      </c>
    </row>
    <row r="34" ht="14.25" customHeight="1">
      <c r="E34" s="36">
        <v>25.0</v>
      </c>
      <c r="F34" s="37" t="s">
        <v>41</v>
      </c>
      <c r="G34" s="38" t="s">
        <v>44</v>
      </c>
      <c r="H34" s="39">
        <v>0.0</v>
      </c>
      <c r="I34" s="39">
        <v>0.0</v>
      </c>
    </row>
    <row r="35" ht="14.25" customHeight="1">
      <c r="E35" s="36">
        <v>26.0</v>
      </c>
      <c r="F35" s="37" t="s">
        <v>41</v>
      </c>
      <c r="G35" s="38" t="s">
        <v>45</v>
      </c>
      <c r="H35" s="39">
        <v>0.0</v>
      </c>
      <c r="I35" s="39">
        <v>0.0</v>
      </c>
    </row>
    <row r="36" ht="14.25" customHeight="1">
      <c r="E36" s="36">
        <v>27.0</v>
      </c>
      <c r="F36" s="37" t="s">
        <v>41</v>
      </c>
      <c r="G36" s="38" t="s">
        <v>46</v>
      </c>
      <c r="H36" s="39">
        <v>2.0</v>
      </c>
      <c r="I36" s="39">
        <v>2.0</v>
      </c>
    </row>
    <row r="37" ht="14.25" customHeight="1">
      <c r="E37" s="36">
        <v>28.0</v>
      </c>
      <c r="F37" s="37" t="s">
        <v>41</v>
      </c>
      <c r="G37" s="38" t="s">
        <v>47</v>
      </c>
      <c r="H37" s="39">
        <v>0.0</v>
      </c>
      <c r="I37" s="39">
        <v>1.0</v>
      </c>
    </row>
    <row r="38" ht="14.25" customHeight="1">
      <c r="E38" s="36">
        <v>29.0</v>
      </c>
      <c r="F38" s="37" t="s">
        <v>48</v>
      </c>
      <c r="G38" s="38" t="s">
        <v>49</v>
      </c>
      <c r="H38" s="39">
        <v>2.0</v>
      </c>
      <c r="I38" s="39">
        <v>2.0</v>
      </c>
    </row>
    <row r="39" ht="14.25" customHeight="1">
      <c r="E39" s="36">
        <v>30.0</v>
      </c>
      <c r="F39" s="37" t="s">
        <v>48</v>
      </c>
      <c r="G39" s="38" t="s">
        <v>50</v>
      </c>
      <c r="H39" s="39">
        <v>2.0</v>
      </c>
      <c r="I39" s="39">
        <v>2.0</v>
      </c>
    </row>
    <row r="40" ht="14.25" customHeight="1">
      <c r="E40" s="36">
        <v>31.0</v>
      </c>
      <c r="F40" s="37" t="s">
        <v>48</v>
      </c>
      <c r="G40" s="38" t="s">
        <v>51</v>
      </c>
      <c r="H40" s="39">
        <v>1.0</v>
      </c>
      <c r="I40" s="39">
        <v>1.0</v>
      </c>
    </row>
    <row r="41" ht="14.25" customHeight="1">
      <c r="E41" s="36">
        <v>32.0</v>
      </c>
      <c r="F41" s="37" t="s">
        <v>48</v>
      </c>
      <c r="G41" s="38" t="s">
        <v>52</v>
      </c>
      <c r="H41" s="39">
        <v>2.0</v>
      </c>
      <c r="I41" s="39">
        <v>2.0</v>
      </c>
    </row>
    <row r="42" ht="14.25" customHeight="1">
      <c r="E42" s="36">
        <v>33.0</v>
      </c>
      <c r="F42" s="37" t="s">
        <v>48</v>
      </c>
      <c r="G42" s="38" t="s">
        <v>53</v>
      </c>
      <c r="H42" s="39">
        <v>1.0</v>
      </c>
      <c r="I42" s="39">
        <v>1.0</v>
      </c>
    </row>
    <row r="43" ht="14.25" customHeight="1">
      <c r="E43" s="36">
        <v>34.0</v>
      </c>
      <c r="F43" s="37" t="s">
        <v>48</v>
      </c>
      <c r="G43" s="38" t="s">
        <v>54</v>
      </c>
      <c r="H43" s="39">
        <v>1.0</v>
      </c>
      <c r="I43" s="39">
        <v>1.0</v>
      </c>
    </row>
    <row r="44" ht="14.25" customHeight="1">
      <c r="F44" s="43"/>
    </row>
    <row r="45" ht="14.25" customHeight="1">
      <c r="E45" s="44"/>
      <c r="F45" s="45" t="s">
        <v>55</v>
      </c>
      <c r="G45" s="38" t="s">
        <v>56</v>
      </c>
      <c r="H45" s="39" t="s">
        <v>7</v>
      </c>
      <c r="I45" s="39" t="s">
        <v>7</v>
      </c>
    </row>
    <row r="46" ht="14.25" customHeight="1">
      <c r="E46" s="44"/>
      <c r="F46" s="45" t="s">
        <v>55</v>
      </c>
      <c r="G46" s="38" t="s">
        <v>57</v>
      </c>
      <c r="H46" s="39" t="s">
        <v>7</v>
      </c>
      <c r="I46" s="39" t="s">
        <v>7</v>
      </c>
    </row>
    <row r="47" ht="14.25" customHeight="1">
      <c r="E47" s="44"/>
      <c r="F47" s="45" t="s">
        <v>55</v>
      </c>
      <c r="G47" s="38" t="s">
        <v>58</v>
      </c>
      <c r="H47" s="39" t="s">
        <v>7</v>
      </c>
      <c r="I47" s="39" t="s">
        <v>7</v>
      </c>
    </row>
    <row r="48" ht="14.25" customHeight="1">
      <c r="E48" s="44"/>
      <c r="F48" s="45" t="s">
        <v>55</v>
      </c>
      <c r="G48" s="38" t="s">
        <v>59</v>
      </c>
      <c r="H48" s="39" t="s">
        <v>7</v>
      </c>
      <c r="I48" s="39" t="s">
        <v>7</v>
      </c>
    </row>
    <row r="49" ht="14.25" customHeight="1">
      <c r="F49" s="43"/>
    </row>
    <row r="50" ht="14.25" customHeight="1">
      <c r="F50" s="43"/>
    </row>
    <row r="51" ht="14.25" customHeight="1">
      <c r="E51" s="44"/>
      <c r="F51" s="37" t="s">
        <v>60</v>
      </c>
      <c r="G51" s="38" t="s">
        <v>61</v>
      </c>
      <c r="H51" s="39">
        <v>1.0</v>
      </c>
      <c r="I51" s="39">
        <v>1.0</v>
      </c>
    </row>
    <row r="52" ht="14.25" customHeight="1">
      <c r="E52" s="44"/>
      <c r="F52" s="37" t="s">
        <v>60</v>
      </c>
      <c r="G52" s="38" t="s">
        <v>62</v>
      </c>
      <c r="H52" s="39">
        <v>1.0</v>
      </c>
      <c r="I52" s="39">
        <v>1.0</v>
      </c>
    </row>
    <row r="53" ht="14.25" customHeight="1">
      <c r="E53" s="44"/>
      <c r="F53" s="37" t="s">
        <v>60</v>
      </c>
      <c r="G53" s="38" t="s">
        <v>63</v>
      </c>
      <c r="H53" s="39" t="s">
        <v>7</v>
      </c>
      <c r="I53" s="39">
        <v>1.0</v>
      </c>
    </row>
    <row r="54" ht="14.25" customHeight="1">
      <c r="F54" s="43"/>
    </row>
    <row r="55" ht="14.25" customHeight="1">
      <c r="F55" s="43"/>
    </row>
    <row r="56" ht="14.25" customHeight="1">
      <c r="E56" s="44"/>
      <c r="F56" s="45" t="s">
        <v>64</v>
      </c>
      <c r="G56" s="46" t="s">
        <v>65</v>
      </c>
      <c r="H56" s="39" t="s">
        <v>7</v>
      </c>
      <c r="I56" s="39" t="s">
        <v>7</v>
      </c>
    </row>
    <row r="57" ht="14.25" customHeight="1">
      <c r="E57" s="44"/>
      <c r="F57" s="45" t="s">
        <v>64</v>
      </c>
      <c r="G57" s="46" t="s">
        <v>66</v>
      </c>
      <c r="H57" s="39" t="s">
        <v>7</v>
      </c>
      <c r="I57" s="39" t="s">
        <v>7</v>
      </c>
    </row>
    <row r="58" ht="14.25" customHeight="1">
      <c r="E58" s="44"/>
      <c r="F58" s="45" t="s">
        <v>64</v>
      </c>
      <c r="G58" s="46" t="s">
        <v>67</v>
      </c>
      <c r="H58" s="39" t="s">
        <v>7</v>
      </c>
      <c r="I58" s="39" t="s">
        <v>7</v>
      </c>
    </row>
    <row r="59" ht="14.25" customHeight="1">
      <c r="E59" s="44"/>
      <c r="F59" s="45" t="s">
        <v>64</v>
      </c>
      <c r="G59" s="46" t="s">
        <v>68</v>
      </c>
      <c r="H59" s="39" t="s">
        <v>7</v>
      </c>
      <c r="I59" s="39" t="s">
        <v>7</v>
      </c>
    </row>
    <row r="60" ht="14.25" customHeight="1">
      <c r="E60" s="44"/>
      <c r="F60" s="45" t="s">
        <v>64</v>
      </c>
      <c r="G60" s="46" t="s">
        <v>69</v>
      </c>
      <c r="H60" s="39" t="s">
        <v>7</v>
      </c>
      <c r="I60" s="39" t="s">
        <v>7</v>
      </c>
    </row>
    <row r="61" ht="14.25" customHeight="1">
      <c r="E61" s="44"/>
      <c r="F61" s="45" t="s">
        <v>64</v>
      </c>
      <c r="G61" s="46" t="s">
        <v>70</v>
      </c>
      <c r="H61" s="39" t="s">
        <v>7</v>
      </c>
      <c r="I61" s="39" t="s">
        <v>7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E2:E3"/>
    <mergeCell ref="F5:G5"/>
    <mergeCell ref="F6:G6"/>
    <mergeCell ref="B9:C9"/>
  </mergeCells>
  <conditionalFormatting sqref="C3:C6 H10:I43 H45:I48 H51:I53 H56:I61">
    <cfRule type="cellIs" dxfId="0" priority="1" operator="equal">
      <formula>1</formula>
    </cfRule>
  </conditionalFormatting>
  <conditionalFormatting sqref="C3:C6 H10:I43 H45:I48 H51:I53 H56:I61">
    <cfRule type="cellIs" dxfId="1" priority="2" operator="equal">
      <formula>0</formula>
    </cfRule>
  </conditionalFormatting>
  <conditionalFormatting sqref="C3:C6 H10:I43 H45:I48 H51:I53 H56:I61">
    <cfRule type="cellIs" dxfId="2" priority="3" operator="equal">
      <formula>2</formula>
    </cfRule>
  </conditionalFormatting>
  <conditionalFormatting sqref="C3:C6 H10:I43 H45:I48 H51:I53 H56:I61">
    <cfRule type="cellIs" dxfId="3" priority="4" operator="equal">
      <formula>"-"</formula>
    </cfRule>
  </conditionalFormatting>
  <conditionalFormatting sqref="K10">
    <cfRule type="notContainsBlanks" dxfId="4" priority="5">
      <formula>LEN(TRIM(K10))&gt;0</formula>
    </cfRule>
  </conditionalFormatting>
  <conditionalFormatting sqref="J10">
    <cfRule type="notContainsBlanks" dxfId="4" priority="6">
      <formula>LEN(TRIM(J10))&gt;0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3.71"/>
    <col customWidth="1" min="2" max="3" width="11.14"/>
    <col customWidth="1" min="4" max="4" width="5.0"/>
    <col customWidth="1" min="5" max="5" width="11.14"/>
    <col customWidth="1" min="6" max="6" width="11.29"/>
    <col customWidth="1" min="7" max="7" width="13.14"/>
    <col customWidth="1" min="8" max="13" width="12.71"/>
    <col customWidth="1" min="14" max="29" width="8.71"/>
  </cols>
  <sheetData>
    <row r="1" ht="14.25" customHeight="1"/>
    <row r="2" ht="14.25" customHeight="1">
      <c r="B2" s="1" t="s">
        <v>0</v>
      </c>
      <c r="C2" s="2"/>
      <c r="E2" s="3" t="s">
        <v>1</v>
      </c>
      <c r="F2" s="4" t="s">
        <v>2</v>
      </c>
      <c r="G2" s="5"/>
      <c r="H2" s="6">
        <f t="shared" ref="H2:M2" si="1">COUNTIF(H10:H43, "1")</f>
        <v>31</v>
      </c>
      <c r="I2" s="6">
        <f t="shared" si="1"/>
        <v>12</v>
      </c>
      <c r="J2" s="6">
        <f t="shared" si="1"/>
        <v>32</v>
      </c>
      <c r="K2" s="6">
        <f t="shared" si="1"/>
        <v>11</v>
      </c>
      <c r="L2" s="6">
        <f t="shared" si="1"/>
        <v>29</v>
      </c>
      <c r="M2" s="6">
        <f t="shared" si="1"/>
        <v>20</v>
      </c>
    </row>
    <row r="3" ht="14.25" customHeight="1">
      <c r="B3" s="7" t="s">
        <v>3</v>
      </c>
      <c r="C3" s="8">
        <v>0.0</v>
      </c>
      <c r="F3" s="9" t="s">
        <v>3</v>
      </c>
      <c r="G3" s="10"/>
      <c r="H3" s="11">
        <f t="shared" ref="H3:M3" si="2">COUNTIF(H10:H43, "0")</f>
        <v>3</v>
      </c>
      <c r="I3" s="11">
        <f t="shared" si="2"/>
        <v>16</v>
      </c>
      <c r="J3" s="11">
        <f t="shared" si="2"/>
        <v>2</v>
      </c>
      <c r="K3" s="11">
        <f t="shared" si="2"/>
        <v>19</v>
      </c>
      <c r="L3" s="11">
        <f t="shared" si="2"/>
        <v>5</v>
      </c>
      <c r="M3" s="11">
        <f t="shared" si="2"/>
        <v>4</v>
      </c>
    </row>
    <row r="4" ht="14.25" customHeight="1">
      <c r="B4" s="12" t="s">
        <v>2</v>
      </c>
      <c r="C4" s="13">
        <v>1.0</v>
      </c>
      <c r="F4" s="9" t="s">
        <v>4</v>
      </c>
      <c r="G4" s="10"/>
      <c r="H4" s="11">
        <f t="shared" ref="H4:M4" si="3">COUNTIF(H10:H43, "2")</f>
        <v>0</v>
      </c>
      <c r="I4" s="11">
        <f t="shared" si="3"/>
        <v>6</v>
      </c>
      <c r="J4" s="11">
        <f t="shared" si="3"/>
        <v>0</v>
      </c>
      <c r="K4" s="11">
        <f t="shared" si="3"/>
        <v>4</v>
      </c>
      <c r="L4" s="11">
        <f t="shared" si="3"/>
        <v>0</v>
      </c>
      <c r="M4" s="11">
        <f t="shared" si="3"/>
        <v>10</v>
      </c>
    </row>
    <row r="5" ht="14.25" customHeight="1">
      <c r="B5" s="14" t="s">
        <v>4</v>
      </c>
      <c r="C5" s="15">
        <v>2.0</v>
      </c>
      <c r="F5" s="16" t="s">
        <v>5</v>
      </c>
      <c r="H5" s="17">
        <f t="shared" ref="H5:M5" si="4">COUNTIF(H45:H61, "1")+COUNTIF(H45:H61, "2")</f>
        <v>4</v>
      </c>
      <c r="I5" s="17">
        <f t="shared" si="4"/>
        <v>2</v>
      </c>
      <c r="J5" s="17">
        <f t="shared" si="4"/>
        <v>4</v>
      </c>
      <c r="K5" s="17">
        <f t="shared" si="4"/>
        <v>3</v>
      </c>
      <c r="L5" s="17">
        <f t="shared" si="4"/>
        <v>8</v>
      </c>
      <c r="M5" s="17">
        <f t="shared" si="4"/>
        <v>6</v>
      </c>
    </row>
    <row r="6" ht="14.25" customHeight="1">
      <c r="A6" s="18"/>
      <c r="B6" s="19" t="s">
        <v>6</v>
      </c>
      <c r="C6" s="20" t="s">
        <v>7</v>
      </c>
      <c r="F6" s="21" t="s">
        <v>8</v>
      </c>
      <c r="G6" s="22"/>
      <c r="H6" s="23">
        <f t="shared" ref="H6:M6" si="5">H2+H5+H4</f>
        <v>35</v>
      </c>
      <c r="I6" s="23">
        <f t="shared" si="5"/>
        <v>20</v>
      </c>
      <c r="J6" s="23">
        <f t="shared" si="5"/>
        <v>36</v>
      </c>
      <c r="K6" s="23">
        <f t="shared" si="5"/>
        <v>18</v>
      </c>
      <c r="L6" s="23">
        <f t="shared" si="5"/>
        <v>37</v>
      </c>
      <c r="M6" s="23">
        <f t="shared" si="5"/>
        <v>36</v>
      </c>
    </row>
    <row r="7" ht="14.25" customHeight="1">
      <c r="A7" s="18"/>
    </row>
    <row r="8" ht="33.75" customHeight="1">
      <c r="A8" s="24"/>
      <c r="E8" s="25" t="s">
        <v>9</v>
      </c>
      <c r="F8" s="26"/>
      <c r="G8" s="27"/>
      <c r="H8" s="28" t="s">
        <v>71</v>
      </c>
      <c r="I8" s="28" t="s">
        <v>10</v>
      </c>
      <c r="J8" s="28" t="s">
        <v>72</v>
      </c>
      <c r="K8" s="28" t="s">
        <v>10</v>
      </c>
      <c r="L8" s="47" t="s">
        <v>73</v>
      </c>
      <c r="M8" s="47" t="s">
        <v>74</v>
      </c>
    </row>
    <row r="9" ht="14.25" customHeight="1">
      <c r="A9" s="18"/>
      <c r="B9" s="30" t="s">
        <v>0</v>
      </c>
      <c r="C9" s="31"/>
      <c r="F9" s="32" t="s">
        <v>11</v>
      </c>
      <c r="G9" s="32" t="s">
        <v>12</v>
      </c>
      <c r="H9" s="33">
        <v>45832.0</v>
      </c>
      <c r="I9" s="33">
        <v>45850.0</v>
      </c>
      <c r="J9" s="33">
        <v>45868.0</v>
      </c>
      <c r="K9" s="33">
        <v>45871.0</v>
      </c>
      <c r="L9" s="48">
        <v>45883.0</v>
      </c>
      <c r="M9" s="48">
        <v>45888.0</v>
      </c>
    </row>
    <row r="10" ht="14.25" customHeight="1">
      <c r="B10" s="34" t="s">
        <v>13</v>
      </c>
      <c r="C10" s="35">
        <v>34.0</v>
      </c>
      <c r="E10" s="36">
        <v>1.0</v>
      </c>
      <c r="F10" s="37" t="s">
        <v>14</v>
      </c>
      <c r="G10" s="38" t="s">
        <v>15</v>
      </c>
      <c r="H10" s="39">
        <v>1.0</v>
      </c>
      <c r="I10" s="39">
        <v>0.0</v>
      </c>
      <c r="J10" s="39">
        <v>1.0</v>
      </c>
      <c r="K10" s="39">
        <v>1.0</v>
      </c>
      <c r="L10" s="39">
        <v>1.0</v>
      </c>
      <c r="M10" s="39">
        <v>1.0</v>
      </c>
    </row>
    <row r="11" ht="14.25" customHeight="1">
      <c r="B11" s="40" t="s">
        <v>5</v>
      </c>
      <c r="C11" s="41"/>
      <c r="E11" s="36">
        <v>2.0</v>
      </c>
      <c r="F11" s="37" t="s">
        <v>16</v>
      </c>
      <c r="G11" s="38" t="s">
        <v>17</v>
      </c>
      <c r="H11" s="39">
        <v>1.0</v>
      </c>
      <c r="I11" s="39">
        <v>1.0</v>
      </c>
      <c r="J11" s="39">
        <v>1.0</v>
      </c>
      <c r="K11" s="39">
        <v>0.0</v>
      </c>
      <c r="L11" s="39">
        <v>0.0</v>
      </c>
      <c r="M11" s="39">
        <v>0.0</v>
      </c>
    </row>
    <row r="12" ht="14.25" customHeight="1">
      <c r="B12" s="42"/>
      <c r="C12" s="42"/>
      <c r="E12" s="36">
        <v>3.0</v>
      </c>
      <c r="F12" s="37" t="s">
        <v>16</v>
      </c>
      <c r="G12" s="38" t="s">
        <v>18</v>
      </c>
      <c r="H12" s="39">
        <v>1.0</v>
      </c>
      <c r="I12" s="39">
        <v>0.0</v>
      </c>
      <c r="J12" s="39">
        <v>1.0</v>
      </c>
      <c r="K12" s="39">
        <v>0.0</v>
      </c>
      <c r="L12" s="39">
        <v>1.0</v>
      </c>
      <c r="M12" s="39">
        <v>2.0</v>
      </c>
    </row>
    <row r="13" ht="14.25" customHeight="1">
      <c r="B13" s="18"/>
      <c r="C13" s="18"/>
      <c r="E13" s="36">
        <v>4.0</v>
      </c>
      <c r="F13" s="37" t="s">
        <v>19</v>
      </c>
      <c r="G13" s="38" t="s">
        <v>20</v>
      </c>
      <c r="H13" s="39">
        <v>1.0</v>
      </c>
      <c r="I13" s="39">
        <v>0.0</v>
      </c>
      <c r="J13" s="39">
        <v>1.0</v>
      </c>
      <c r="K13" s="39">
        <v>0.0</v>
      </c>
      <c r="L13" s="39">
        <v>1.0</v>
      </c>
      <c r="M13" s="39">
        <v>1.0</v>
      </c>
    </row>
    <row r="14" ht="14.25" customHeight="1">
      <c r="E14" s="36">
        <v>5.0</v>
      </c>
      <c r="F14" s="37" t="s">
        <v>19</v>
      </c>
      <c r="G14" s="38" t="s">
        <v>21</v>
      </c>
      <c r="H14" s="39">
        <v>1.0</v>
      </c>
      <c r="I14" s="39">
        <v>0.0</v>
      </c>
      <c r="J14" s="39">
        <v>1.0</v>
      </c>
      <c r="K14" s="39">
        <v>1.0</v>
      </c>
      <c r="L14" s="39">
        <v>1.0</v>
      </c>
      <c r="M14" s="39">
        <v>1.0</v>
      </c>
    </row>
    <row r="15" ht="14.25" customHeight="1">
      <c r="E15" s="36">
        <v>6.0</v>
      </c>
      <c r="F15" s="37" t="s">
        <v>19</v>
      </c>
      <c r="G15" s="38" t="s">
        <v>22</v>
      </c>
      <c r="H15" s="39">
        <v>0.0</v>
      </c>
      <c r="I15" s="39">
        <v>2.0</v>
      </c>
      <c r="J15" s="39">
        <v>1.0</v>
      </c>
      <c r="K15" s="39">
        <v>0.0</v>
      </c>
      <c r="L15" s="39">
        <v>0.0</v>
      </c>
      <c r="M15" s="39">
        <v>1.0</v>
      </c>
    </row>
    <row r="16" ht="14.25" customHeight="1">
      <c r="E16" s="36">
        <v>7.0</v>
      </c>
      <c r="F16" s="37" t="s">
        <v>19</v>
      </c>
      <c r="G16" s="38" t="s">
        <v>23</v>
      </c>
      <c r="H16" s="39">
        <v>1.0</v>
      </c>
      <c r="I16" s="39">
        <v>2.0</v>
      </c>
      <c r="J16" s="39">
        <v>1.0</v>
      </c>
      <c r="K16" s="39">
        <v>0.0</v>
      </c>
      <c r="L16" s="39">
        <v>1.0</v>
      </c>
      <c r="M16" s="39">
        <v>1.0</v>
      </c>
    </row>
    <row r="17" ht="14.25" customHeight="1">
      <c r="E17" s="36">
        <v>8.0</v>
      </c>
      <c r="F17" s="37" t="s">
        <v>19</v>
      </c>
      <c r="G17" s="38" t="s">
        <v>24</v>
      </c>
      <c r="H17" s="39">
        <v>1.0</v>
      </c>
      <c r="I17" s="39">
        <v>0.0</v>
      </c>
      <c r="J17" s="39">
        <v>1.0</v>
      </c>
      <c r="K17" s="39">
        <v>0.0</v>
      </c>
      <c r="L17" s="39">
        <v>1.0</v>
      </c>
      <c r="M17" s="39">
        <v>1.0</v>
      </c>
    </row>
    <row r="18" ht="14.25" customHeight="1">
      <c r="E18" s="36">
        <v>9.0</v>
      </c>
      <c r="F18" s="37" t="s">
        <v>25</v>
      </c>
      <c r="G18" s="38" t="s">
        <v>26</v>
      </c>
      <c r="H18" s="39">
        <v>1.0</v>
      </c>
      <c r="I18" s="39">
        <v>1.0</v>
      </c>
      <c r="J18" s="39">
        <v>1.0</v>
      </c>
      <c r="K18" s="39">
        <v>0.0</v>
      </c>
      <c r="L18" s="39">
        <v>1.0</v>
      </c>
      <c r="M18" s="39">
        <v>2.0</v>
      </c>
    </row>
    <row r="19" ht="14.25" customHeight="1">
      <c r="E19" s="36">
        <v>10.0</v>
      </c>
      <c r="F19" s="37" t="s">
        <v>25</v>
      </c>
      <c r="G19" s="38" t="s">
        <v>27</v>
      </c>
      <c r="H19" s="39">
        <v>1.0</v>
      </c>
      <c r="I19" s="39">
        <v>0.0</v>
      </c>
      <c r="J19" s="39">
        <v>1.0</v>
      </c>
      <c r="K19" s="39">
        <v>0.0</v>
      </c>
      <c r="L19" s="39">
        <v>1.0</v>
      </c>
      <c r="M19" s="39">
        <v>1.0</v>
      </c>
    </row>
    <row r="20" ht="14.25" customHeight="1">
      <c r="E20" s="36">
        <v>11.0</v>
      </c>
      <c r="F20" s="37" t="s">
        <v>25</v>
      </c>
      <c r="G20" s="38" t="s">
        <v>28</v>
      </c>
      <c r="H20" s="39">
        <v>1.0</v>
      </c>
      <c r="I20" s="39">
        <v>1.0</v>
      </c>
      <c r="J20" s="39">
        <v>1.0</v>
      </c>
      <c r="K20" s="39">
        <v>0.0</v>
      </c>
      <c r="L20" s="39">
        <v>0.0</v>
      </c>
      <c r="M20" s="39">
        <v>1.0</v>
      </c>
    </row>
    <row r="21" ht="14.25" customHeight="1">
      <c r="E21" s="36">
        <v>12.0</v>
      </c>
      <c r="F21" s="37" t="s">
        <v>25</v>
      </c>
      <c r="G21" s="38" t="s">
        <v>29</v>
      </c>
      <c r="H21" s="39">
        <v>1.0</v>
      </c>
      <c r="I21" s="39">
        <v>0.0</v>
      </c>
      <c r="J21" s="39">
        <v>1.0</v>
      </c>
      <c r="K21" s="39">
        <v>0.0</v>
      </c>
      <c r="L21" s="39">
        <v>1.0</v>
      </c>
      <c r="M21" s="39">
        <v>0.0</v>
      </c>
    </row>
    <row r="22" ht="14.25" customHeight="1">
      <c r="E22" s="36">
        <v>13.0</v>
      </c>
      <c r="F22" s="37" t="s">
        <v>25</v>
      </c>
      <c r="G22" s="38" t="s">
        <v>30</v>
      </c>
      <c r="H22" s="39">
        <v>1.0</v>
      </c>
      <c r="I22" s="39">
        <v>1.0</v>
      </c>
      <c r="J22" s="39">
        <v>0.0</v>
      </c>
      <c r="K22" s="39">
        <v>1.0</v>
      </c>
      <c r="L22" s="39">
        <v>1.0</v>
      </c>
      <c r="M22" s="39">
        <v>1.0</v>
      </c>
    </row>
    <row r="23" ht="14.25" customHeight="1">
      <c r="E23" s="36">
        <v>14.0</v>
      </c>
      <c r="F23" s="37" t="s">
        <v>25</v>
      </c>
      <c r="G23" s="38" t="s">
        <v>31</v>
      </c>
      <c r="H23" s="39">
        <v>1.0</v>
      </c>
      <c r="I23" s="39">
        <v>0.0</v>
      </c>
      <c r="J23" s="39">
        <v>1.0</v>
      </c>
      <c r="K23" s="39">
        <v>0.0</v>
      </c>
      <c r="L23" s="39">
        <v>0.0</v>
      </c>
      <c r="M23" s="39">
        <v>0.0</v>
      </c>
    </row>
    <row r="24" ht="14.25" customHeight="1">
      <c r="E24" s="36">
        <v>15.0</v>
      </c>
      <c r="F24" s="37" t="s">
        <v>25</v>
      </c>
      <c r="G24" s="38" t="s">
        <v>32</v>
      </c>
      <c r="H24" s="39">
        <v>0.0</v>
      </c>
      <c r="I24" s="39">
        <v>1.0</v>
      </c>
      <c r="J24" s="39">
        <v>1.0</v>
      </c>
      <c r="K24" s="39">
        <v>0.0</v>
      </c>
      <c r="L24" s="39">
        <v>1.0</v>
      </c>
      <c r="M24" s="39">
        <v>2.0</v>
      </c>
    </row>
    <row r="25" ht="14.25" customHeight="1">
      <c r="E25" s="36">
        <v>16.0</v>
      </c>
      <c r="F25" s="37" t="s">
        <v>33</v>
      </c>
      <c r="G25" s="38" t="s">
        <v>34</v>
      </c>
      <c r="H25" s="39">
        <v>1.0</v>
      </c>
      <c r="I25" s="39">
        <v>0.0</v>
      </c>
      <c r="J25" s="39">
        <v>1.0</v>
      </c>
      <c r="K25" s="39">
        <v>0.0</v>
      </c>
      <c r="L25" s="39">
        <v>1.0</v>
      </c>
      <c r="M25" s="39">
        <v>1.0</v>
      </c>
    </row>
    <row r="26" ht="14.25" customHeight="1">
      <c r="E26" s="36">
        <v>17.0</v>
      </c>
      <c r="F26" s="37" t="s">
        <v>33</v>
      </c>
      <c r="G26" s="38" t="s">
        <v>35</v>
      </c>
      <c r="H26" s="39">
        <v>1.0</v>
      </c>
      <c r="I26" s="39">
        <v>1.0</v>
      </c>
      <c r="J26" s="39">
        <v>1.0</v>
      </c>
      <c r="K26" s="39">
        <v>1.0</v>
      </c>
      <c r="L26" s="39">
        <v>1.0</v>
      </c>
      <c r="M26" s="39">
        <v>1.0</v>
      </c>
    </row>
    <row r="27" ht="14.25" customHeight="1">
      <c r="E27" s="36">
        <v>18.0</v>
      </c>
      <c r="F27" s="37" t="s">
        <v>33</v>
      </c>
      <c r="G27" s="38" t="s">
        <v>36</v>
      </c>
      <c r="H27" s="39">
        <v>1.0</v>
      </c>
      <c r="I27" s="39">
        <v>0.0</v>
      </c>
      <c r="J27" s="39">
        <v>0.0</v>
      </c>
      <c r="K27" s="39">
        <v>0.0</v>
      </c>
      <c r="L27" s="39">
        <v>0.0</v>
      </c>
      <c r="M27" s="39">
        <v>1.0</v>
      </c>
    </row>
    <row r="28" ht="14.25" customHeight="1">
      <c r="E28" s="36">
        <v>19.0</v>
      </c>
      <c r="F28" s="37" t="s">
        <v>33</v>
      </c>
      <c r="G28" s="38" t="s">
        <v>37</v>
      </c>
      <c r="H28" s="39">
        <v>1.0</v>
      </c>
      <c r="I28" s="39">
        <v>1.0</v>
      </c>
      <c r="J28" s="39">
        <v>1.0</v>
      </c>
      <c r="K28" s="39">
        <v>0.0</v>
      </c>
      <c r="L28" s="39">
        <v>1.0</v>
      </c>
      <c r="M28" s="39">
        <v>1.0</v>
      </c>
    </row>
    <row r="29" ht="14.25" customHeight="1">
      <c r="E29" s="36">
        <v>20.0</v>
      </c>
      <c r="F29" s="37" t="s">
        <v>33</v>
      </c>
      <c r="G29" s="38" t="s">
        <v>38</v>
      </c>
      <c r="H29" s="39">
        <v>1.0</v>
      </c>
      <c r="I29" s="39">
        <v>1.0</v>
      </c>
      <c r="J29" s="39">
        <v>1.0</v>
      </c>
      <c r="K29" s="39">
        <v>1.0</v>
      </c>
      <c r="L29" s="39">
        <v>1.0</v>
      </c>
      <c r="M29" s="39">
        <v>1.0</v>
      </c>
    </row>
    <row r="30" ht="14.25" customHeight="1">
      <c r="E30" s="36">
        <v>21.0</v>
      </c>
      <c r="F30" s="37" t="s">
        <v>33</v>
      </c>
      <c r="G30" s="38" t="s">
        <v>39</v>
      </c>
      <c r="H30" s="39">
        <v>1.0</v>
      </c>
      <c r="I30" s="39">
        <v>1.0</v>
      </c>
      <c r="J30" s="39">
        <v>1.0</v>
      </c>
      <c r="K30" s="39">
        <v>1.0</v>
      </c>
      <c r="L30" s="39">
        <v>1.0</v>
      </c>
      <c r="M30" s="39">
        <v>1.0</v>
      </c>
    </row>
    <row r="31" ht="14.25" customHeight="1">
      <c r="E31" s="36">
        <v>22.0</v>
      </c>
      <c r="F31" s="37" t="s">
        <v>33</v>
      </c>
      <c r="G31" s="38" t="s">
        <v>40</v>
      </c>
      <c r="H31" s="39">
        <v>1.0</v>
      </c>
      <c r="I31" s="39">
        <v>0.0</v>
      </c>
      <c r="J31" s="39">
        <v>1.0</v>
      </c>
      <c r="K31" s="39">
        <v>1.0</v>
      </c>
      <c r="L31" s="39">
        <v>1.0</v>
      </c>
      <c r="M31" s="39">
        <v>2.0</v>
      </c>
    </row>
    <row r="32" ht="14.25" customHeight="1">
      <c r="E32" s="36">
        <v>23.0</v>
      </c>
      <c r="F32" s="37" t="s">
        <v>41</v>
      </c>
      <c r="G32" s="38" t="s">
        <v>42</v>
      </c>
      <c r="H32" s="39">
        <v>1.0</v>
      </c>
      <c r="I32" s="39">
        <v>0.0</v>
      </c>
      <c r="J32" s="39">
        <v>1.0</v>
      </c>
      <c r="K32" s="39">
        <v>0.0</v>
      </c>
      <c r="L32" s="39">
        <v>1.0</v>
      </c>
      <c r="M32" s="39">
        <v>1.0</v>
      </c>
    </row>
    <row r="33" ht="14.25" customHeight="1">
      <c r="E33" s="36">
        <v>24.0</v>
      </c>
      <c r="F33" s="37" t="s">
        <v>41</v>
      </c>
      <c r="G33" s="38" t="s">
        <v>43</v>
      </c>
      <c r="H33" s="39">
        <v>1.0</v>
      </c>
      <c r="I33" s="39">
        <v>0.0</v>
      </c>
      <c r="J33" s="39">
        <v>1.0</v>
      </c>
      <c r="K33" s="39">
        <v>0.0</v>
      </c>
      <c r="L33" s="39">
        <v>1.0</v>
      </c>
      <c r="M33" s="39">
        <v>1.0</v>
      </c>
    </row>
    <row r="34" ht="14.25" customHeight="1">
      <c r="E34" s="36">
        <v>25.0</v>
      </c>
      <c r="F34" s="37" t="s">
        <v>41</v>
      </c>
      <c r="G34" s="38" t="s">
        <v>44</v>
      </c>
      <c r="H34" s="39">
        <v>1.0</v>
      </c>
      <c r="I34" s="39">
        <v>0.0</v>
      </c>
      <c r="J34" s="39">
        <v>1.0</v>
      </c>
      <c r="K34" s="39">
        <v>0.0</v>
      </c>
      <c r="L34" s="39">
        <v>1.0</v>
      </c>
      <c r="M34" s="39">
        <v>1.0</v>
      </c>
    </row>
    <row r="35" ht="14.25" customHeight="1">
      <c r="E35" s="36">
        <v>26.0</v>
      </c>
      <c r="F35" s="37" t="s">
        <v>41</v>
      </c>
      <c r="G35" s="38" t="s">
        <v>45</v>
      </c>
      <c r="H35" s="39">
        <v>1.0</v>
      </c>
      <c r="I35" s="39">
        <v>0.0</v>
      </c>
      <c r="J35" s="39">
        <v>1.0</v>
      </c>
      <c r="K35" s="39">
        <v>0.0</v>
      </c>
      <c r="L35" s="39">
        <v>1.0</v>
      </c>
      <c r="M35" s="39">
        <v>1.0</v>
      </c>
    </row>
    <row r="36" ht="14.25" customHeight="1">
      <c r="E36" s="36">
        <v>27.0</v>
      </c>
      <c r="F36" s="37" t="s">
        <v>41</v>
      </c>
      <c r="G36" s="38" t="s">
        <v>46</v>
      </c>
      <c r="H36" s="39">
        <v>0.0</v>
      </c>
      <c r="I36" s="39">
        <v>2.0</v>
      </c>
      <c r="J36" s="39">
        <v>1.0</v>
      </c>
      <c r="K36" s="39">
        <v>2.0</v>
      </c>
      <c r="L36" s="39">
        <v>1.0</v>
      </c>
      <c r="M36" s="39">
        <v>0.0</v>
      </c>
    </row>
    <row r="37" ht="14.25" customHeight="1">
      <c r="E37" s="36">
        <v>28.0</v>
      </c>
      <c r="F37" s="37" t="s">
        <v>41</v>
      </c>
      <c r="G37" s="38" t="s">
        <v>47</v>
      </c>
      <c r="H37" s="39">
        <v>1.0</v>
      </c>
      <c r="I37" s="39">
        <v>0.0</v>
      </c>
      <c r="J37" s="39">
        <v>1.0</v>
      </c>
      <c r="K37" s="39">
        <v>1.0</v>
      </c>
      <c r="L37" s="39">
        <v>1.0</v>
      </c>
      <c r="M37" s="39">
        <v>1.0</v>
      </c>
    </row>
    <row r="38" ht="14.25" customHeight="1">
      <c r="E38" s="36">
        <v>29.0</v>
      </c>
      <c r="F38" s="37" t="s">
        <v>48</v>
      </c>
      <c r="G38" s="38" t="s">
        <v>49</v>
      </c>
      <c r="H38" s="39">
        <v>1.0</v>
      </c>
      <c r="I38" s="39">
        <v>2.0</v>
      </c>
      <c r="J38" s="39">
        <v>1.0</v>
      </c>
      <c r="K38" s="39">
        <v>2.0</v>
      </c>
      <c r="L38" s="39">
        <v>1.0</v>
      </c>
      <c r="M38" s="39">
        <v>2.0</v>
      </c>
    </row>
    <row r="39" ht="14.25" customHeight="1">
      <c r="E39" s="36">
        <v>30.0</v>
      </c>
      <c r="F39" s="37" t="s">
        <v>48</v>
      </c>
      <c r="G39" s="38" t="s">
        <v>50</v>
      </c>
      <c r="H39" s="39">
        <v>1.0</v>
      </c>
      <c r="I39" s="39">
        <v>2.0</v>
      </c>
      <c r="J39" s="39">
        <v>1.0</v>
      </c>
      <c r="K39" s="39">
        <v>2.0</v>
      </c>
      <c r="L39" s="39">
        <v>1.0</v>
      </c>
      <c r="M39" s="39">
        <v>2.0</v>
      </c>
    </row>
    <row r="40" ht="14.25" customHeight="1">
      <c r="E40" s="36">
        <v>31.0</v>
      </c>
      <c r="F40" s="37" t="s">
        <v>48</v>
      </c>
      <c r="G40" s="38" t="s">
        <v>51</v>
      </c>
      <c r="H40" s="39">
        <v>1.0</v>
      </c>
      <c r="I40" s="39">
        <v>1.0</v>
      </c>
      <c r="J40" s="39">
        <v>1.0</v>
      </c>
      <c r="K40" s="39">
        <v>1.0</v>
      </c>
      <c r="L40" s="39">
        <v>1.0</v>
      </c>
      <c r="M40" s="39">
        <v>2.0</v>
      </c>
    </row>
    <row r="41" ht="14.25" customHeight="1">
      <c r="E41" s="36">
        <v>32.0</v>
      </c>
      <c r="F41" s="37" t="s">
        <v>48</v>
      </c>
      <c r="G41" s="38" t="s">
        <v>52</v>
      </c>
      <c r="H41" s="39">
        <v>1.0</v>
      </c>
      <c r="I41" s="39">
        <v>2.0</v>
      </c>
      <c r="J41" s="39">
        <v>1.0</v>
      </c>
      <c r="K41" s="39">
        <v>2.0</v>
      </c>
      <c r="L41" s="39">
        <v>1.0</v>
      </c>
      <c r="M41" s="39">
        <v>2.0</v>
      </c>
    </row>
    <row r="42" ht="14.25" customHeight="1">
      <c r="E42" s="36">
        <v>33.0</v>
      </c>
      <c r="F42" s="37" t="s">
        <v>48</v>
      </c>
      <c r="G42" s="38" t="s">
        <v>53</v>
      </c>
      <c r="H42" s="39">
        <v>1.0</v>
      </c>
      <c r="I42" s="39">
        <v>1.0</v>
      </c>
      <c r="J42" s="39">
        <v>1.0</v>
      </c>
      <c r="K42" s="39">
        <v>1.0</v>
      </c>
      <c r="L42" s="39">
        <v>1.0</v>
      </c>
      <c r="M42" s="39">
        <v>2.0</v>
      </c>
    </row>
    <row r="43" ht="14.25" customHeight="1">
      <c r="E43" s="36">
        <v>34.0</v>
      </c>
      <c r="F43" s="37" t="s">
        <v>48</v>
      </c>
      <c r="G43" s="38" t="s">
        <v>54</v>
      </c>
      <c r="H43" s="39">
        <v>1.0</v>
      </c>
      <c r="I43" s="39">
        <v>1.0</v>
      </c>
      <c r="J43" s="39">
        <v>1.0</v>
      </c>
      <c r="K43" s="39">
        <v>1.0</v>
      </c>
      <c r="L43" s="39">
        <v>1.0</v>
      </c>
      <c r="M43" s="39">
        <v>2.0</v>
      </c>
    </row>
    <row r="44" ht="14.25" customHeight="1">
      <c r="F44" s="43"/>
    </row>
    <row r="45" ht="14.25" customHeight="1">
      <c r="E45" s="44"/>
      <c r="F45" s="45" t="s">
        <v>55</v>
      </c>
      <c r="G45" s="38" t="s">
        <v>56</v>
      </c>
      <c r="H45" s="39">
        <v>1.0</v>
      </c>
      <c r="I45" s="39" t="s">
        <v>7</v>
      </c>
      <c r="J45" s="39">
        <v>1.0</v>
      </c>
      <c r="K45" s="39" t="s">
        <v>7</v>
      </c>
      <c r="L45" s="39" t="s">
        <v>7</v>
      </c>
      <c r="M45" s="39" t="s">
        <v>7</v>
      </c>
    </row>
    <row r="46" ht="14.25" customHeight="1">
      <c r="E46" s="44"/>
      <c r="F46" s="45" t="s">
        <v>55</v>
      </c>
      <c r="G46" s="38" t="s">
        <v>57</v>
      </c>
      <c r="H46" s="39">
        <v>1.0</v>
      </c>
      <c r="I46" s="39" t="s">
        <v>7</v>
      </c>
      <c r="J46" s="39">
        <v>1.0</v>
      </c>
      <c r="K46" s="39" t="s">
        <v>7</v>
      </c>
      <c r="L46" s="39">
        <v>1.0</v>
      </c>
      <c r="M46" s="39" t="s">
        <v>7</v>
      </c>
    </row>
    <row r="47" ht="14.25" customHeight="1">
      <c r="E47" s="44"/>
      <c r="F47" s="45" t="s">
        <v>55</v>
      </c>
      <c r="G47" s="38" t="s">
        <v>58</v>
      </c>
      <c r="H47" s="39">
        <v>1.0</v>
      </c>
      <c r="I47" s="39" t="s">
        <v>7</v>
      </c>
      <c r="J47" s="39">
        <v>1.0</v>
      </c>
      <c r="K47" s="39" t="s">
        <v>7</v>
      </c>
      <c r="L47" s="39">
        <v>1.0</v>
      </c>
      <c r="M47" s="39">
        <v>1.0</v>
      </c>
    </row>
    <row r="48" ht="14.25" customHeight="1">
      <c r="E48" s="44"/>
      <c r="F48" s="45" t="s">
        <v>55</v>
      </c>
      <c r="G48" s="38" t="s">
        <v>59</v>
      </c>
      <c r="H48" s="39">
        <v>1.0</v>
      </c>
      <c r="I48" s="39" t="s">
        <v>7</v>
      </c>
      <c r="J48" s="39">
        <v>1.0</v>
      </c>
      <c r="K48" s="39" t="s">
        <v>7</v>
      </c>
      <c r="L48" s="39" t="s">
        <v>7</v>
      </c>
      <c r="M48" s="39" t="s">
        <v>7</v>
      </c>
    </row>
    <row r="49" ht="14.25" customHeight="1">
      <c r="F49" s="43"/>
    </row>
    <row r="50" ht="14.25" customHeight="1">
      <c r="F50" s="43"/>
    </row>
    <row r="51" ht="14.25" customHeight="1">
      <c r="E51" s="44"/>
      <c r="F51" s="37" t="s">
        <v>60</v>
      </c>
      <c r="G51" s="38" t="s">
        <v>61</v>
      </c>
      <c r="H51" s="39" t="s">
        <v>7</v>
      </c>
      <c r="I51" s="39">
        <v>1.0</v>
      </c>
      <c r="J51" s="39" t="s">
        <v>7</v>
      </c>
      <c r="K51" s="39">
        <v>1.0</v>
      </c>
      <c r="L51" s="39" t="s">
        <v>7</v>
      </c>
      <c r="M51" s="39" t="s">
        <v>7</v>
      </c>
    </row>
    <row r="52" ht="14.25" customHeight="1">
      <c r="E52" s="44"/>
      <c r="F52" s="37" t="s">
        <v>60</v>
      </c>
      <c r="G52" s="38" t="s">
        <v>62</v>
      </c>
      <c r="H52" s="39" t="s">
        <v>7</v>
      </c>
      <c r="I52" s="39">
        <v>1.0</v>
      </c>
      <c r="J52" s="39" t="s">
        <v>7</v>
      </c>
      <c r="K52" s="39">
        <v>1.0</v>
      </c>
      <c r="L52" s="39" t="s">
        <v>7</v>
      </c>
      <c r="M52" s="39" t="s">
        <v>7</v>
      </c>
    </row>
    <row r="53" ht="14.25" customHeight="1">
      <c r="E53" s="44"/>
      <c r="F53" s="37" t="s">
        <v>60</v>
      </c>
      <c r="G53" s="38" t="s">
        <v>63</v>
      </c>
      <c r="H53" s="39" t="s">
        <v>7</v>
      </c>
      <c r="I53" s="39" t="s">
        <v>7</v>
      </c>
      <c r="J53" s="39" t="s">
        <v>7</v>
      </c>
      <c r="K53" s="39">
        <v>1.0</v>
      </c>
      <c r="L53" s="39" t="s">
        <v>7</v>
      </c>
      <c r="M53" s="39" t="s">
        <v>7</v>
      </c>
    </row>
    <row r="54" ht="14.25" customHeight="1">
      <c r="F54" s="43"/>
    </row>
    <row r="55" ht="14.25" customHeight="1">
      <c r="F55" s="43"/>
    </row>
    <row r="56" ht="14.25" customHeight="1">
      <c r="E56" s="44"/>
      <c r="F56" s="45" t="s">
        <v>64</v>
      </c>
      <c r="G56" s="46" t="s">
        <v>65</v>
      </c>
      <c r="H56" s="39" t="s">
        <v>7</v>
      </c>
      <c r="I56" s="39" t="s">
        <v>7</v>
      </c>
      <c r="J56" s="39" t="s">
        <v>7</v>
      </c>
      <c r="K56" s="39" t="s">
        <v>7</v>
      </c>
      <c r="L56" s="39">
        <v>1.0</v>
      </c>
      <c r="M56" s="39">
        <v>2.0</v>
      </c>
    </row>
    <row r="57" ht="14.25" customHeight="1">
      <c r="E57" s="44"/>
      <c r="F57" s="45" t="s">
        <v>64</v>
      </c>
      <c r="G57" s="46" t="s">
        <v>66</v>
      </c>
      <c r="H57" s="39" t="s">
        <v>7</v>
      </c>
      <c r="I57" s="39" t="s">
        <v>7</v>
      </c>
      <c r="J57" s="39" t="s">
        <v>7</v>
      </c>
      <c r="K57" s="39" t="s">
        <v>7</v>
      </c>
      <c r="L57" s="39">
        <v>1.0</v>
      </c>
      <c r="M57" s="39">
        <v>2.0</v>
      </c>
    </row>
    <row r="58" ht="14.25" customHeight="1">
      <c r="E58" s="44"/>
      <c r="F58" s="45" t="s">
        <v>64</v>
      </c>
      <c r="G58" s="46" t="s">
        <v>67</v>
      </c>
      <c r="H58" s="39" t="s">
        <v>7</v>
      </c>
      <c r="I58" s="39" t="s">
        <v>7</v>
      </c>
      <c r="J58" s="39" t="s">
        <v>7</v>
      </c>
      <c r="K58" s="39" t="s">
        <v>7</v>
      </c>
      <c r="L58" s="39">
        <v>1.0</v>
      </c>
      <c r="M58" s="39">
        <v>1.0</v>
      </c>
    </row>
    <row r="59" ht="14.25" customHeight="1">
      <c r="E59" s="44"/>
      <c r="F59" s="45" t="s">
        <v>64</v>
      </c>
      <c r="G59" s="46" t="s">
        <v>68</v>
      </c>
      <c r="H59" s="39" t="s">
        <v>7</v>
      </c>
      <c r="I59" s="39" t="s">
        <v>7</v>
      </c>
      <c r="J59" s="39" t="s">
        <v>7</v>
      </c>
      <c r="K59" s="39" t="s">
        <v>7</v>
      </c>
      <c r="L59" s="39">
        <v>1.0</v>
      </c>
      <c r="M59" s="39">
        <v>1.0</v>
      </c>
    </row>
    <row r="60" ht="14.25" customHeight="1">
      <c r="E60" s="44"/>
      <c r="F60" s="45" t="s">
        <v>64</v>
      </c>
      <c r="G60" s="46" t="s">
        <v>69</v>
      </c>
      <c r="H60" s="39" t="s">
        <v>7</v>
      </c>
      <c r="I60" s="39" t="s">
        <v>7</v>
      </c>
      <c r="J60" s="39" t="s">
        <v>7</v>
      </c>
      <c r="K60" s="39" t="s">
        <v>7</v>
      </c>
      <c r="L60" s="39">
        <v>1.0</v>
      </c>
      <c r="M60" s="39">
        <v>1.0</v>
      </c>
    </row>
    <row r="61" ht="14.25" customHeight="1">
      <c r="E61" s="44"/>
      <c r="F61" s="45" t="s">
        <v>64</v>
      </c>
      <c r="G61" s="46" t="s">
        <v>70</v>
      </c>
      <c r="H61" s="39" t="s">
        <v>7</v>
      </c>
      <c r="I61" s="39" t="s">
        <v>7</v>
      </c>
      <c r="J61" s="39" t="s">
        <v>7</v>
      </c>
      <c r="K61" s="39" t="s">
        <v>7</v>
      </c>
      <c r="L61" s="39">
        <v>1.0</v>
      </c>
      <c r="M61" s="39">
        <v>0.0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E2:E3"/>
    <mergeCell ref="F5:G5"/>
    <mergeCell ref="F6:G6"/>
    <mergeCell ref="B9:C9"/>
  </mergeCells>
  <conditionalFormatting sqref="C3:C6 L8:M43 H10:K43 H45:M48 H51:M53 H56:M61">
    <cfRule type="cellIs" dxfId="0" priority="1" operator="equal">
      <formula>1</formula>
    </cfRule>
  </conditionalFormatting>
  <conditionalFormatting sqref="C3:C6 L8:M43 H10:K43 H45:M48 H51:M53 H56:M61">
    <cfRule type="cellIs" dxfId="1" priority="2" operator="equal">
      <formula>0</formula>
    </cfRule>
  </conditionalFormatting>
  <conditionalFormatting sqref="C3:C6 L8:M43 H10:K43 H45:M48 H51:M53 H56:M61">
    <cfRule type="cellIs" dxfId="2" priority="3" operator="equal">
      <formula>2</formula>
    </cfRule>
  </conditionalFormatting>
  <conditionalFormatting sqref="C3:C6 L8:M43 H10:K43 H45:M48 H51:M53 H56:M61">
    <cfRule type="cellIs" dxfId="3" priority="4" operator="equal">
      <formula>"-"</formula>
    </cfRule>
  </conditionalFormatting>
  <conditionalFormatting sqref="O10">
    <cfRule type="notContainsBlanks" dxfId="4" priority="5">
      <formula>LEN(TRIM(O10))&gt;0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2025-08-03T12:22:45Z</dcterms:created>
  <dc:creator>Susan Esparrago</dc:creator>
</cp:coreProperties>
</file>