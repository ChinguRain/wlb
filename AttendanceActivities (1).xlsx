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" sheetId="1" r:id="rId4"/>
    <sheet state="visible" name="Discord" sheetId="2" r:id="rId5"/>
    <sheet state="visible" name="Internal" sheetId="3" r:id="rId6"/>
  </sheets>
  <definedNames/>
  <calcPr/>
  <extLst>
    <ext uri="GoogleSheetsCustomDataVersion2">
      <go:sheetsCustomData xmlns:go="http://customooxmlschemas.google.com/" r:id="rId7" roundtripDataChecksum="KSjKQdynoXk7m77zLzpUafndZY8akn5DqBM7hRVzQt8="/>
    </ext>
  </extLst>
</workbook>
</file>

<file path=xl/sharedStrings.xml><?xml version="1.0" encoding="utf-8"?>
<sst xmlns="http://schemas.openxmlformats.org/spreadsheetml/2006/main" count="324" uniqueCount="72">
  <si>
    <t>Legend:</t>
  </si>
  <si>
    <t>MM-GS1</t>
  </si>
  <si>
    <t>Present</t>
  </si>
  <si>
    <t>Absent</t>
  </si>
  <si>
    <t>Added</t>
  </si>
  <si>
    <t>Spectate</t>
  </si>
  <si>
    <t>N/A</t>
  </si>
  <si>
    <t>TOTAL</t>
  </si>
  <si>
    <t>Activity:</t>
  </si>
  <si>
    <t>JP Visitor (Kuya J)</t>
  </si>
  <si>
    <t>Discord (Among Us)</t>
  </si>
  <si>
    <t>Farewell Party</t>
  </si>
  <si>
    <t>B30 Welcome</t>
  </si>
  <si>
    <t>Batch</t>
  </si>
  <si>
    <t>Name</t>
  </si>
  <si>
    <t>Alpha</t>
  </si>
  <si>
    <t>Rommel</t>
  </si>
  <si>
    <t>Nimble</t>
  </si>
  <si>
    <t>Kish</t>
  </si>
  <si>
    <t>Pril</t>
  </si>
  <si>
    <t>Omicron</t>
  </si>
  <si>
    <t>Dyd</t>
  </si>
  <si>
    <t>Em</t>
  </si>
  <si>
    <t>Henry</t>
  </si>
  <si>
    <t>Kyez</t>
  </si>
  <si>
    <t>Lang</t>
  </si>
  <si>
    <t>Sandbox</t>
  </si>
  <si>
    <t>Alvin</t>
  </si>
  <si>
    <t>Cm</t>
  </si>
  <si>
    <t>Emand</t>
  </si>
  <si>
    <t>Jason</t>
  </si>
  <si>
    <t>Niña</t>
  </si>
  <si>
    <t>Rex</t>
  </si>
  <si>
    <t>Steff</t>
  </si>
  <si>
    <t>Mirai</t>
  </si>
  <si>
    <t>Abbie</t>
  </si>
  <si>
    <t>Criez</t>
  </si>
  <si>
    <t>Jj</t>
  </si>
  <si>
    <t>Matt</t>
  </si>
  <si>
    <t>Otep</t>
  </si>
  <si>
    <t>Rey</t>
  </si>
  <si>
    <t>She</t>
  </si>
  <si>
    <t>Nexus</t>
  </si>
  <si>
    <t>Kini</t>
  </si>
  <si>
    <t>Lorenzo</t>
  </si>
  <si>
    <t>Maks</t>
  </si>
  <si>
    <t>Pierre</t>
  </si>
  <si>
    <t>Rocyn</t>
  </si>
  <si>
    <t>Thea</t>
  </si>
  <si>
    <t>Aether</t>
  </si>
  <si>
    <t>Adrielle</t>
  </si>
  <si>
    <t>Charlene</t>
  </si>
  <si>
    <t>Gabo</t>
  </si>
  <si>
    <t>Mads</t>
  </si>
  <si>
    <t>Mika</t>
  </si>
  <si>
    <t>Raf</t>
  </si>
  <si>
    <t>Matsuoka</t>
  </si>
  <si>
    <t>Oishi</t>
  </si>
  <si>
    <t>Dani</t>
  </si>
  <si>
    <t>Tommy</t>
  </si>
  <si>
    <t>DTJP</t>
  </si>
  <si>
    <t>Niimi</t>
  </si>
  <si>
    <t>Ryota</t>
  </si>
  <si>
    <t>Aoi</t>
  </si>
  <si>
    <t>Batch 30</t>
  </si>
  <si>
    <t>Alex</t>
  </si>
  <si>
    <t>Dhar</t>
  </si>
  <si>
    <t>Law</t>
  </si>
  <si>
    <t>Jl</t>
  </si>
  <si>
    <t>Isaac</t>
  </si>
  <si>
    <t>Fred</t>
  </si>
  <si>
    <t>ATTENDANCE COUNT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</si>
</sst>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1.0"/>
      <color theme="1"/>
      <name val="Calibri"/>
      <scheme val="minor"/>
    </font>
    <font>
      <sz val="11.0"/>
      <color theme="1"/>
      <name val="Calibri"/>
    </font>
    <font/>
    <font>
      <color theme="1"/>
      <name val="Calibri"/>
      <scheme val="minor"/>
    </font>
    <font>
      <b/>
      <sz val="11.0"/>
      <color rgb="FFCC0000"/>
      <name val="Calibri"/>
    </font>
    <font>
      <color rgb="FFCC0000"/>
      <name val="Calibri"/>
      <scheme val="minor"/>
    </font>
    <font>
      <b/>
      <color rgb="FFCC0000"/>
      <name val="Calibri"/>
      <scheme val="minor"/>
    </font>
    <font>
      <b/>
      <sz val="11.0"/>
      <color theme="1"/>
      <name val="Calibri"/>
    </font>
    <font>
      <b/>
      <sz val="11.0"/>
      <color rgb="FFF3F3F3"/>
      <name val="Calibri"/>
    </font>
  </fonts>
  <fills count="5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rgb="FFE7E6E6"/>
        <bgColor rgb="FFE7E6E6"/>
      </patternFill>
    </fill>
    <fill>
      <patternFill patternType="solid">
        <fgColor rgb="FF6FA8DC"/>
        <bgColor rgb="FF6FA8DC"/>
      </patternFill>
    </fill>
  </fills>
  <borders count="16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/>
      <right style="thin">
        <color rgb="FF000000"/>
      </right>
      <bottom/>
    </border>
    <border>
      <right style="thin">
        <color rgb="FF000000"/>
      </right>
    </border>
    <border>
      <left/>
      <right style="thin">
        <color rgb="FF000000"/>
      </right>
      <top/>
      <bottom/>
    </border>
    <border>
      <left style="thin">
        <color rgb="FF000000"/>
      </lef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0" fillId="0" fontId="3" numFmtId="0" xfId="0" applyAlignment="1" applyFont="1">
      <alignment horizontal="center" readingOrder="0" vertical="center"/>
    </xf>
    <xf borderId="3" fillId="2" fontId="4" numFmtId="0" xfId="0" applyAlignment="1" applyBorder="1" applyFont="1">
      <alignment readingOrder="0"/>
    </xf>
    <xf borderId="4" fillId="2" fontId="5" numFmtId="0" xfId="0" applyBorder="1" applyFont="1"/>
    <xf borderId="5" fillId="2" fontId="6" numFmtId="0" xfId="0" applyAlignment="1" applyBorder="1" applyFont="1">
      <alignment horizontal="center"/>
    </xf>
    <xf borderId="6" fillId="0" fontId="1" numFmtId="0" xfId="0" applyAlignment="1" applyBorder="1" applyFont="1">
      <alignment vertical="center"/>
    </xf>
    <xf borderId="7" fillId="3" fontId="1" numFmtId="0" xfId="0" applyAlignment="1" applyBorder="1" applyFill="1" applyFont="1">
      <alignment horizontal="center" readingOrder="0"/>
    </xf>
    <xf borderId="6" fillId="0" fontId="3" numFmtId="0" xfId="0" applyAlignment="1" applyBorder="1" applyFont="1">
      <alignment readingOrder="0"/>
    </xf>
    <xf borderId="8" fillId="0" fontId="3" numFmtId="0" xfId="0" applyAlignment="1" applyBorder="1" applyFont="1">
      <alignment horizontal="center"/>
    </xf>
    <xf borderId="9" fillId="3" fontId="1" numFmtId="0" xfId="0" applyAlignment="1" applyBorder="1" applyFont="1">
      <alignment horizontal="center" readingOrder="0"/>
    </xf>
    <xf borderId="0" fillId="0" fontId="1" numFmtId="0" xfId="0" applyAlignment="1" applyFont="1">
      <alignment horizontal="center" vertical="center"/>
    </xf>
    <xf borderId="0" fillId="2" fontId="1" numFmtId="0" xfId="0" applyAlignment="1" applyFont="1">
      <alignment horizontal="center"/>
    </xf>
    <xf borderId="6" fillId="0" fontId="1" numFmtId="0" xfId="0" applyAlignment="1" applyBorder="1" applyFont="1">
      <alignment readingOrder="0" shrinkToFit="0" vertical="center" wrapText="1"/>
    </xf>
    <xf borderId="9" fillId="3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vertical="center"/>
    </xf>
    <xf borderId="10" fillId="0" fontId="1" numFmtId="0" xfId="0" applyAlignment="1" applyBorder="1" applyFont="1">
      <alignment vertical="center"/>
    </xf>
    <xf borderId="11" fillId="3" fontId="1" numFmtId="0" xfId="0" applyAlignment="1" applyBorder="1" applyFont="1">
      <alignment horizontal="center" readingOrder="0"/>
    </xf>
    <xf borderId="10" fillId="0" fontId="3" numFmtId="0" xfId="0" applyAlignment="1" applyBorder="1" applyFont="1">
      <alignment readingOrder="0"/>
    </xf>
    <xf borderId="12" fillId="0" fontId="3" numFmtId="0" xfId="0" applyBorder="1" applyFont="1"/>
    <xf borderId="13" fillId="0" fontId="3" numFmtId="0" xfId="0" applyAlignment="1" applyBorder="1" applyFont="1">
      <alignment horizontal="center"/>
    </xf>
    <xf borderId="0" fillId="0" fontId="1" numFmtId="0" xfId="0" applyAlignment="1" applyFont="1">
      <alignment shrinkToFit="0" vertical="center" wrapText="1"/>
    </xf>
    <xf borderId="1" fillId="2" fontId="7" numFmtId="0" xfId="0" applyAlignment="1" applyBorder="1" applyFont="1">
      <alignment horizontal="left" vertical="center"/>
    </xf>
    <xf borderId="14" fillId="2" fontId="3" numFmtId="0" xfId="0" applyBorder="1" applyFont="1"/>
    <xf borderId="14" fillId="2" fontId="1" numFmtId="0" xfId="0" applyAlignment="1" applyBorder="1" applyFont="1">
      <alignment horizontal="center" vertical="center"/>
    </xf>
    <xf borderId="14" fillId="2" fontId="1" numFmtId="0" xfId="0" applyAlignment="1" applyBorder="1" applyFont="1">
      <alignment horizontal="center" shrinkToFit="0" vertical="center" wrapText="1"/>
    </xf>
    <xf borderId="2" fillId="2" fontId="1" numFmtId="0" xfId="0" applyAlignment="1" applyBorder="1" applyFont="1">
      <alignment horizontal="center" readingOrder="0" shrinkToFit="0" vertical="center" wrapText="1"/>
    </xf>
    <xf borderId="0" fillId="0" fontId="7" numFmtId="0" xfId="0" applyAlignment="1" applyFont="1">
      <alignment horizontal="center"/>
    </xf>
    <xf borderId="0" fillId="4" fontId="8" numFmtId="15" xfId="0" applyAlignment="1" applyFill="1" applyFont="1" applyNumberFormat="1">
      <alignment horizontal="center" vertical="center"/>
    </xf>
    <xf borderId="0" fillId="4" fontId="8" numFmtId="15" xfId="0" applyAlignment="1" applyFont="1" applyNumberFormat="1">
      <alignment horizontal="center" readingOrder="0" vertical="center"/>
    </xf>
    <xf borderId="0" fillId="0" fontId="3" numFmtId="0" xfId="0" applyFont="1"/>
    <xf borderId="15" fillId="3" fontId="1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readingOrder="0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</cellXfs>
  <cellStyles count="1">
    <cellStyle xfId="0" name="Normal" builtinId="0"/>
  </cellStyles>
  <dxfs count="5">
    <dxf>
      <font>
        <color rgb="FF6AA84F"/>
      </font>
      <fill>
        <patternFill patternType="solid">
          <fgColor rgb="FFA8D08D"/>
          <bgColor rgb="FFA8D08D"/>
        </patternFill>
      </fill>
      <border/>
    </dxf>
    <dxf>
      <font>
        <color rgb="FFF4CCCC"/>
      </font>
      <fill>
        <patternFill patternType="solid">
          <fgColor rgb="FFFBE4D5"/>
          <bgColor rgb="FFFBE4D5"/>
        </patternFill>
      </fill>
      <border/>
    </dxf>
    <dxf>
      <font>
        <color rgb="FFFFD966"/>
      </font>
      <fill>
        <patternFill patternType="solid">
          <fgColor rgb="FFFFE598"/>
          <bgColor rgb="FFFFE598"/>
        </patternFill>
      </fill>
      <border/>
    </dxf>
    <dxf>
      <font/>
      <fill>
        <patternFill patternType="solid">
          <fgColor rgb="FFE7E6E6"/>
          <bgColor rgb="FFE7E6E6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7.0" topLeftCell="H1" activePane="topRight" state="frozen"/>
      <selection activeCell="I2" sqref="I2" pane="topRight"/>
    </sheetView>
  </sheetViews>
  <sheetFormatPr customHeight="1" defaultColWidth="14.43" defaultRowHeight="15.0"/>
  <cols>
    <col customWidth="1" min="1" max="1" width="3.71"/>
    <col customWidth="1" min="2" max="3" width="11.14"/>
    <col customWidth="1" min="4" max="4" width="5.0"/>
    <col customWidth="1" min="5" max="5" width="11.14"/>
    <col customWidth="1" min="6" max="6" width="11.29"/>
    <col customWidth="1" min="7" max="7" width="13.14"/>
    <col customWidth="1" min="8" max="12" width="12.71"/>
    <col customWidth="1" min="13" max="29" width="8.71"/>
  </cols>
  <sheetData>
    <row r="1" ht="14.25" customHeight="1"/>
    <row r="2" ht="14.25" customHeight="1">
      <c r="B2" s="1" t="s">
        <v>0</v>
      </c>
      <c r="C2" s="2"/>
      <c r="E2" s="3" t="s">
        <v>1</v>
      </c>
      <c r="F2" s="4" t="s">
        <v>2</v>
      </c>
      <c r="G2" s="5"/>
      <c r="H2" s="6">
        <f t="shared" ref="H2:L2" si="1">COUNTIF(H10:H43, "1")</f>
        <v>31</v>
      </c>
      <c r="I2" s="6">
        <f t="shared" si="1"/>
        <v>12</v>
      </c>
      <c r="J2" s="6">
        <f t="shared" si="1"/>
        <v>32</v>
      </c>
      <c r="K2" s="6">
        <f t="shared" si="1"/>
        <v>11</v>
      </c>
      <c r="L2" s="6">
        <f t="shared" si="1"/>
        <v>29</v>
      </c>
    </row>
    <row r="3" ht="14.25" customHeight="1">
      <c r="B3" s="7" t="s">
        <v>2</v>
      </c>
      <c r="C3" s="8">
        <v>1.0</v>
      </c>
      <c r="F3" s="9" t="s">
        <v>3</v>
      </c>
      <c r="H3" s="10">
        <f t="shared" ref="H3:L3" si="2">COUNTIF(H10:H43, "2")</f>
        <v>3</v>
      </c>
      <c r="I3" s="10">
        <f t="shared" si="2"/>
        <v>16</v>
      </c>
      <c r="J3" s="10">
        <f t="shared" si="2"/>
        <v>2</v>
      </c>
      <c r="K3" s="10">
        <f t="shared" si="2"/>
        <v>19</v>
      </c>
      <c r="L3" s="10">
        <f t="shared" si="2"/>
        <v>5</v>
      </c>
    </row>
    <row r="4" ht="14.25" customHeight="1">
      <c r="B4" s="7" t="s">
        <v>3</v>
      </c>
      <c r="C4" s="11">
        <v>2.0</v>
      </c>
      <c r="F4" s="9" t="s">
        <v>4</v>
      </c>
      <c r="H4" s="10">
        <f t="shared" ref="H4:L4" si="3">COUNTIF(H45:H61, "1")</f>
        <v>4</v>
      </c>
      <c r="I4" s="10">
        <f t="shared" si="3"/>
        <v>2</v>
      </c>
      <c r="J4" s="10">
        <f t="shared" si="3"/>
        <v>4</v>
      </c>
      <c r="K4" s="10">
        <f t="shared" si="3"/>
        <v>3</v>
      </c>
      <c r="L4" s="10">
        <f t="shared" si="3"/>
        <v>8</v>
      </c>
      <c r="M4" s="12"/>
    </row>
    <row r="5" ht="14.25" customHeight="1">
      <c r="A5" s="13"/>
      <c r="B5" s="14" t="s">
        <v>5</v>
      </c>
      <c r="C5" s="15">
        <v>3.0</v>
      </c>
      <c r="F5" s="9" t="s">
        <v>5</v>
      </c>
      <c r="H5" s="10">
        <f t="shared" ref="H5:L5" si="4">COUNTIF(H10:H43, "3")</f>
        <v>0</v>
      </c>
      <c r="I5" s="10">
        <f t="shared" si="4"/>
        <v>6</v>
      </c>
      <c r="J5" s="10">
        <f t="shared" si="4"/>
        <v>0</v>
      </c>
      <c r="K5" s="10">
        <f t="shared" si="4"/>
        <v>4</v>
      </c>
      <c r="L5" s="10">
        <f t="shared" si="4"/>
        <v>0</v>
      </c>
    </row>
    <row r="6" ht="14.25" customHeight="1">
      <c r="A6" s="16"/>
      <c r="B6" s="17" t="s">
        <v>6</v>
      </c>
      <c r="C6" s="18"/>
      <c r="F6" s="19" t="s">
        <v>7</v>
      </c>
      <c r="G6" s="20"/>
      <c r="H6" s="21">
        <f t="shared" ref="H6:L6" si="5">H2+H4+H5</f>
        <v>35</v>
      </c>
      <c r="I6" s="21">
        <f t="shared" si="5"/>
        <v>20</v>
      </c>
      <c r="J6" s="21">
        <f t="shared" si="5"/>
        <v>36</v>
      </c>
      <c r="K6" s="21">
        <f t="shared" si="5"/>
        <v>18</v>
      </c>
      <c r="L6" s="21">
        <f t="shared" si="5"/>
        <v>37</v>
      </c>
    </row>
    <row r="7" ht="14.25" customHeight="1">
      <c r="A7" s="16"/>
    </row>
    <row r="8" ht="14.25" customHeight="1">
      <c r="A8" s="22"/>
      <c r="E8" s="23" t="s">
        <v>8</v>
      </c>
      <c r="F8" s="24"/>
      <c r="G8" s="25"/>
      <c r="H8" s="26" t="s">
        <v>9</v>
      </c>
      <c r="I8" s="26" t="s">
        <v>10</v>
      </c>
      <c r="J8" s="26" t="s">
        <v>11</v>
      </c>
      <c r="K8" s="26" t="s">
        <v>10</v>
      </c>
      <c r="L8" s="27" t="s">
        <v>12</v>
      </c>
    </row>
    <row r="9" ht="14.25" customHeight="1">
      <c r="A9" s="16"/>
      <c r="F9" s="28" t="s">
        <v>13</v>
      </c>
      <c r="G9" s="28" t="s">
        <v>14</v>
      </c>
      <c r="H9" s="29">
        <v>45832.0</v>
      </c>
      <c r="I9" s="29">
        <v>45850.0</v>
      </c>
      <c r="J9" s="29">
        <v>45868.0</v>
      </c>
      <c r="K9" s="29">
        <v>45871.0</v>
      </c>
      <c r="L9" s="30">
        <v>45883.0</v>
      </c>
    </row>
    <row r="10" ht="14.25" customHeight="1">
      <c r="F10" s="12" t="s">
        <v>15</v>
      </c>
      <c r="G10" s="31" t="s">
        <v>16</v>
      </c>
      <c r="H10" s="32">
        <v>1.0</v>
      </c>
      <c r="I10" s="32">
        <v>2.0</v>
      </c>
      <c r="J10" s="32">
        <v>1.0</v>
      </c>
      <c r="K10" s="32">
        <v>1.0</v>
      </c>
      <c r="L10" s="32">
        <v>1.0</v>
      </c>
    </row>
    <row r="11" ht="14.25" customHeight="1">
      <c r="F11" s="12" t="s">
        <v>17</v>
      </c>
      <c r="G11" s="31" t="s">
        <v>18</v>
      </c>
      <c r="H11" s="32">
        <v>1.0</v>
      </c>
      <c r="I11" s="32">
        <v>1.0</v>
      </c>
      <c r="J11" s="32">
        <v>1.0</v>
      </c>
      <c r="K11" s="32">
        <v>2.0</v>
      </c>
      <c r="L11" s="32">
        <v>2.0</v>
      </c>
    </row>
    <row r="12" ht="14.25" customHeight="1">
      <c r="F12" s="12" t="s">
        <v>17</v>
      </c>
      <c r="G12" s="31" t="s">
        <v>19</v>
      </c>
      <c r="H12" s="32">
        <v>1.0</v>
      </c>
      <c r="I12" s="32">
        <v>2.0</v>
      </c>
      <c r="J12" s="32">
        <v>1.0</v>
      </c>
      <c r="K12" s="32">
        <v>2.0</v>
      </c>
      <c r="L12" s="32">
        <v>1.0</v>
      </c>
    </row>
    <row r="13" ht="14.25" customHeight="1">
      <c r="F13" s="12" t="s">
        <v>20</v>
      </c>
      <c r="G13" s="31" t="s">
        <v>21</v>
      </c>
      <c r="H13" s="32">
        <v>1.0</v>
      </c>
      <c r="I13" s="32">
        <v>2.0</v>
      </c>
      <c r="J13" s="32">
        <v>1.0</v>
      </c>
      <c r="K13" s="32">
        <v>2.0</v>
      </c>
      <c r="L13" s="32">
        <v>1.0</v>
      </c>
    </row>
    <row r="14" ht="14.25" customHeight="1">
      <c r="F14" s="12" t="s">
        <v>20</v>
      </c>
      <c r="G14" s="31" t="s">
        <v>22</v>
      </c>
      <c r="H14" s="32">
        <v>1.0</v>
      </c>
      <c r="I14" s="32">
        <v>2.0</v>
      </c>
      <c r="J14" s="32">
        <v>1.0</v>
      </c>
      <c r="K14" s="32">
        <v>1.0</v>
      </c>
      <c r="L14" s="32">
        <v>1.0</v>
      </c>
    </row>
    <row r="15" ht="14.25" customHeight="1">
      <c r="F15" s="12" t="s">
        <v>20</v>
      </c>
      <c r="G15" s="31" t="s">
        <v>23</v>
      </c>
      <c r="H15" s="32">
        <v>2.0</v>
      </c>
      <c r="I15" s="32">
        <v>3.0</v>
      </c>
      <c r="J15" s="32">
        <v>1.0</v>
      </c>
      <c r="K15" s="32">
        <v>2.0</v>
      </c>
      <c r="L15" s="32">
        <v>2.0</v>
      </c>
    </row>
    <row r="16" ht="14.25" customHeight="1">
      <c r="F16" s="12" t="s">
        <v>20</v>
      </c>
      <c r="G16" s="31" t="s">
        <v>24</v>
      </c>
      <c r="H16" s="32">
        <v>1.0</v>
      </c>
      <c r="I16" s="32">
        <v>3.0</v>
      </c>
      <c r="J16" s="32">
        <v>1.0</v>
      </c>
      <c r="K16" s="32">
        <v>2.0</v>
      </c>
      <c r="L16" s="32">
        <v>1.0</v>
      </c>
    </row>
    <row r="17" ht="14.25" customHeight="1">
      <c r="F17" s="12" t="s">
        <v>20</v>
      </c>
      <c r="G17" s="31" t="s">
        <v>25</v>
      </c>
      <c r="H17" s="32">
        <v>1.0</v>
      </c>
      <c r="I17" s="32">
        <v>2.0</v>
      </c>
      <c r="J17" s="32">
        <v>1.0</v>
      </c>
      <c r="K17" s="32">
        <v>2.0</v>
      </c>
      <c r="L17" s="32">
        <v>1.0</v>
      </c>
    </row>
    <row r="18" ht="14.25" customHeight="1">
      <c r="F18" s="12" t="s">
        <v>26</v>
      </c>
      <c r="G18" s="31" t="s">
        <v>27</v>
      </c>
      <c r="H18" s="32">
        <v>1.0</v>
      </c>
      <c r="I18" s="32">
        <v>1.0</v>
      </c>
      <c r="J18" s="32">
        <v>1.0</v>
      </c>
      <c r="K18" s="32">
        <v>2.0</v>
      </c>
      <c r="L18" s="32">
        <v>1.0</v>
      </c>
    </row>
    <row r="19" ht="14.25" customHeight="1">
      <c r="F19" s="12" t="s">
        <v>26</v>
      </c>
      <c r="G19" s="31" t="s">
        <v>28</v>
      </c>
      <c r="H19" s="32">
        <v>1.0</v>
      </c>
      <c r="I19" s="32">
        <v>2.0</v>
      </c>
      <c r="J19" s="32">
        <v>1.0</v>
      </c>
      <c r="K19" s="32">
        <v>2.0</v>
      </c>
      <c r="L19" s="32">
        <v>1.0</v>
      </c>
    </row>
    <row r="20" ht="14.25" customHeight="1">
      <c r="F20" s="12" t="s">
        <v>26</v>
      </c>
      <c r="G20" s="31" t="s">
        <v>29</v>
      </c>
      <c r="H20" s="32">
        <v>1.0</v>
      </c>
      <c r="I20" s="32">
        <v>1.0</v>
      </c>
      <c r="J20" s="32">
        <v>1.0</v>
      </c>
      <c r="K20" s="32">
        <v>2.0</v>
      </c>
      <c r="L20" s="32">
        <v>2.0</v>
      </c>
    </row>
    <row r="21" ht="14.25" customHeight="1">
      <c r="F21" s="12" t="s">
        <v>26</v>
      </c>
      <c r="G21" s="31" t="s">
        <v>30</v>
      </c>
      <c r="H21" s="32">
        <v>1.0</v>
      </c>
      <c r="I21" s="32">
        <v>2.0</v>
      </c>
      <c r="J21" s="32">
        <v>1.0</v>
      </c>
      <c r="K21" s="32">
        <v>2.0</v>
      </c>
      <c r="L21" s="32">
        <v>1.0</v>
      </c>
    </row>
    <row r="22" ht="14.25" customHeight="1">
      <c r="F22" s="12" t="s">
        <v>26</v>
      </c>
      <c r="G22" s="31" t="s">
        <v>31</v>
      </c>
      <c r="H22" s="32">
        <v>1.0</v>
      </c>
      <c r="I22" s="32">
        <v>1.0</v>
      </c>
      <c r="J22" s="32">
        <v>2.0</v>
      </c>
      <c r="K22" s="32">
        <v>1.0</v>
      </c>
      <c r="L22" s="32">
        <v>1.0</v>
      </c>
    </row>
    <row r="23" ht="14.25" customHeight="1">
      <c r="F23" s="12" t="s">
        <v>26</v>
      </c>
      <c r="G23" s="31" t="s">
        <v>32</v>
      </c>
      <c r="H23" s="32">
        <v>1.0</v>
      </c>
      <c r="I23" s="32">
        <v>2.0</v>
      </c>
      <c r="J23" s="32">
        <v>1.0</v>
      </c>
      <c r="K23" s="32">
        <v>2.0</v>
      </c>
      <c r="L23" s="32">
        <v>2.0</v>
      </c>
    </row>
    <row r="24" ht="14.25" customHeight="1">
      <c r="F24" s="12" t="s">
        <v>26</v>
      </c>
      <c r="G24" s="31" t="s">
        <v>33</v>
      </c>
      <c r="H24" s="32">
        <v>2.0</v>
      </c>
      <c r="I24" s="32">
        <v>1.0</v>
      </c>
      <c r="J24" s="32">
        <v>1.0</v>
      </c>
      <c r="K24" s="32">
        <v>2.0</v>
      </c>
      <c r="L24" s="32">
        <v>1.0</v>
      </c>
    </row>
    <row r="25" ht="14.25" customHeight="1">
      <c r="F25" s="12" t="s">
        <v>34</v>
      </c>
      <c r="G25" s="31" t="s">
        <v>35</v>
      </c>
      <c r="H25" s="32">
        <v>1.0</v>
      </c>
      <c r="I25" s="32">
        <v>2.0</v>
      </c>
      <c r="J25" s="32">
        <v>1.0</v>
      </c>
      <c r="K25" s="32">
        <v>2.0</v>
      </c>
      <c r="L25" s="32">
        <v>1.0</v>
      </c>
    </row>
    <row r="26" ht="14.25" customHeight="1">
      <c r="F26" s="12" t="s">
        <v>34</v>
      </c>
      <c r="G26" s="31" t="s">
        <v>36</v>
      </c>
      <c r="H26" s="32">
        <v>1.0</v>
      </c>
      <c r="I26" s="32">
        <v>1.0</v>
      </c>
      <c r="J26" s="32">
        <v>1.0</v>
      </c>
      <c r="K26" s="32">
        <v>1.0</v>
      </c>
      <c r="L26" s="32">
        <v>1.0</v>
      </c>
    </row>
    <row r="27" ht="14.25" customHeight="1">
      <c r="F27" s="12" t="s">
        <v>34</v>
      </c>
      <c r="G27" s="31" t="s">
        <v>37</v>
      </c>
      <c r="H27" s="32">
        <v>1.0</v>
      </c>
      <c r="I27" s="32">
        <v>2.0</v>
      </c>
      <c r="J27" s="32">
        <v>2.0</v>
      </c>
      <c r="K27" s="32">
        <v>2.0</v>
      </c>
      <c r="L27" s="32">
        <v>2.0</v>
      </c>
    </row>
    <row r="28" ht="14.25" customHeight="1">
      <c r="F28" s="12" t="s">
        <v>34</v>
      </c>
      <c r="G28" s="31" t="s">
        <v>38</v>
      </c>
      <c r="H28" s="32">
        <v>1.0</v>
      </c>
      <c r="I28" s="32">
        <v>1.0</v>
      </c>
      <c r="J28" s="32">
        <v>1.0</v>
      </c>
      <c r="K28" s="32">
        <v>2.0</v>
      </c>
      <c r="L28" s="32">
        <v>1.0</v>
      </c>
    </row>
    <row r="29" ht="14.25" customHeight="1">
      <c r="F29" s="12" t="s">
        <v>34</v>
      </c>
      <c r="G29" s="31" t="s">
        <v>39</v>
      </c>
      <c r="H29" s="32">
        <v>1.0</v>
      </c>
      <c r="I29" s="32">
        <v>1.0</v>
      </c>
      <c r="J29" s="32">
        <v>1.0</v>
      </c>
      <c r="K29" s="32">
        <v>1.0</v>
      </c>
      <c r="L29" s="32">
        <v>1.0</v>
      </c>
    </row>
    <row r="30" ht="14.25" customHeight="1">
      <c r="F30" s="12" t="s">
        <v>34</v>
      </c>
      <c r="G30" s="31" t="s">
        <v>40</v>
      </c>
      <c r="H30" s="32">
        <v>1.0</v>
      </c>
      <c r="I30" s="32">
        <v>1.0</v>
      </c>
      <c r="J30" s="32">
        <v>1.0</v>
      </c>
      <c r="K30" s="32">
        <v>1.0</v>
      </c>
      <c r="L30" s="32">
        <v>1.0</v>
      </c>
    </row>
    <row r="31" ht="14.25" customHeight="1">
      <c r="F31" s="12" t="s">
        <v>34</v>
      </c>
      <c r="G31" s="31" t="s">
        <v>41</v>
      </c>
      <c r="H31" s="32">
        <v>1.0</v>
      </c>
      <c r="I31" s="32">
        <v>2.0</v>
      </c>
      <c r="J31" s="32">
        <v>1.0</v>
      </c>
      <c r="K31" s="32">
        <v>1.0</v>
      </c>
      <c r="L31" s="32">
        <v>1.0</v>
      </c>
    </row>
    <row r="32" ht="14.25" customHeight="1">
      <c r="F32" s="12" t="s">
        <v>42</v>
      </c>
      <c r="G32" s="31" t="s">
        <v>43</v>
      </c>
      <c r="H32" s="32">
        <v>1.0</v>
      </c>
      <c r="I32" s="32">
        <v>2.0</v>
      </c>
      <c r="J32" s="32">
        <v>1.0</v>
      </c>
      <c r="K32" s="32">
        <v>2.0</v>
      </c>
      <c r="L32" s="32">
        <v>1.0</v>
      </c>
    </row>
    <row r="33" ht="14.25" customHeight="1">
      <c r="F33" s="12" t="s">
        <v>42</v>
      </c>
      <c r="G33" s="31" t="s">
        <v>44</v>
      </c>
      <c r="H33" s="32">
        <v>1.0</v>
      </c>
      <c r="I33" s="32">
        <v>2.0</v>
      </c>
      <c r="J33" s="32">
        <v>1.0</v>
      </c>
      <c r="K33" s="32">
        <v>2.0</v>
      </c>
      <c r="L33" s="32">
        <v>1.0</v>
      </c>
    </row>
    <row r="34" ht="14.25" customHeight="1">
      <c r="F34" s="12" t="s">
        <v>42</v>
      </c>
      <c r="G34" s="31" t="s">
        <v>45</v>
      </c>
      <c r="H34" s="32">
        <v>1.0</v>
      </c>
      <c r="I34" s="32">
        <v>2.0</v>
      </c>
      <c r="J34" s="32">
        <v>1.0</v>
      </c>
      <c r="K34" s="32">
        <v>2.0</v>
      </c>
      <c r="L34" s="32">
        <v>1.0</v>
      </c>
    </row>
    <row r="35" ht="14.25" customHeight="1">
      <c r="F35" s="12" t="s">
        <v>42</v>
      </c>
      <c r="G35" s="31" t="s">
        <v>46</v>
      </c>
      <c r="H35" s="32">
        <v>1.0</v>
      </c>
      <c r="I35" s="32">
        <v>2.0</v>
      </c>
      <c r="J35" s="32">
        <v>1.0</v>
      </c>
      <c r="K35" s="32">
        <v>2.0</v>
      </c>
      <c r="L35" s="32">
        <v>1.0</v>
      </c>
    </row>
    <row r="36" ht="14.25" customHeight="1">
      <c r="F36" s="12" t="s">
        <v>42</v>
      </c>
      <c r="G36" s="31" t="s">
        <v>47</v>
      </c>
      <c r="H36" s="32">
        <v>2.0</v>
      </c>
      <c r="I36" s="32">
        <v>3.0</v>
      </c>
      <c r="J36" s="32">
        <v>1.0</v>
      </c>
      <c r="K36" s="32">
        <v>3.0</v>
      </c>
      <c r="L36" s="32">
        <v>1.0</v>
      </c>
    </row>
    <row r="37" ht="14.25" customHeight="1">
      <c r="F37" s="12" t="s">
        <v>42</v>
      </c>
      <c r="G37" s="31" t="s">
        <v>48</v>
      </c>
      <c r="H37" s="32">
        <v>1.0</v>
      </c>
      <c r="I37" s="32">
        <v>2.0</v>
      </c>
      <c r="J37" s="32">
        <v>1.0</v>
      </c>
      <c r="K37" s="32">
        <v>1.0</v>
      </c>
      <c r="L37" s="32">
        <v>1.0</v>
      </c>
    </row>
    <row r="38" ht="14.25" customHeight="1">
      <c r="F38" s="12" t="s">
        <v>49</v>
      </c>
      <c r="G38" s="31" t="s">
        <v>50</v>
      </c>
      <c r="H38" s="32">
        <v>1.0</v>
      </c>
      <c r="I38" s="32">
        <v>3.0</v>
      </c>
      <c r="J38" s="32">
        <v>1.0</v>
      </c>
      <c r="K38" s="32">
        <v>3.0</v>
      </c>
      <c r="L38" s="32">
        <v>1.0</v>
      </c>
    </row>
    <row r="39" ht="14.25" customHeight="1">
      <c r="F39" s="12" t="s">
        <v>49</v>
      </c>
      <c r="G39" s="31" t="s">
        <v>51</v>
      </c>
      <c r="H39" s="32">
        <v>1.0</v>
      </c>
      <c r="I39" s="32">
        <v>3.0</v>
      </c>
      <c r="J39" s="32">
        <v>1.0</v>
      </c>
      <c r="K39" s="32">
        <v>3.0</v>
      </c>
      <c r="L39" s="32">
        <v>1.0</v>
      </c>
    </row>
    <row r="40" ht="14.25" customHeight="1">
      <c r="F40" s="12" t="s">
        <v>49</v>
      </c>
      <c r="G40" s="31" t="s">
        <v>52</v>
      </c>
      <c r="H40" s="32">
        <v>1.0</v>
      </c>
      <c r="I40" s="32">
        <v>1.0</v>
      </c>
      <c r="J40" s="32">
        <v>1.0</v>
      </c>
      <c r="K40" s="32">
        <v>1.0</v>
      </c>
      <c r="L40" s="32">
        <v>1.0</v>
      </c>
    </row>
    <row r="41" ht="14.25" customHeight="1">
      <c r="F41" s="12" t="s">
        <v>49</v>
      </c>
      <c r="G41" s="31" t="s">
        <v>53</v>
      </c>
      <c r="H41" s="32">
        <v>1.0</v>
      </c>
      <c r="I41" s="32">
        <v>3.0</v>
      </c>
      <c r="J41" s="32">
        <v>1.0</v>
      </c>
      <c r="K41" s="32">
        <v>3.0</v>
      </c>
      <c r="L41" s="32">
        <v>1.0</v>
      </c>
    </row>
    <row r="42" ht="14.25" customHeight="1">
      <c r="F42" s="12" t="s">
        <v>49</v>
      </c>
      <c r="G42" s="31" t="s">
        <v>54</v>
      </c>
      <c r="H42" s="32">
        <v>1.0</v>
      </c>
      <c r="I42" s="32">
        <v>1.0</v>
      </c>
      <c r="J42" s="32">
        <v>1.0</v>
      </c>
      <c r="K42" s="32">
        <v>1.0</v>
      </c>
      <c r="L42" s="32">
        <v>1.0</v>
      </c>
    </row>
    <row r="43" ht="14.25" customHeight="1">
      <c r="F43" s="12" t="s">
        <v>49</v>
      </c>
      <c r="G43" s="31" t="s">
        <v>55</v>
      </c>
      <c r="H43" s="32">
        <v>1.0</v>
      </c>
      <c r="I43" s="32">
        <v>1.0</v>
      </c>
      <c r="J43" s="32">
        <v>1.0</v>
      </c>
      <c r="K43" s="32">
        <v>1.0</v>
      </c>
      <c r="L43" s="32">
        <v>1.0</v>
      </c>
    </row>
    <row r="44" ht="14.25" customHeight="1"/>
    <row r="45" ht="14.25" customHeight="1">
      <c r="G45" s="31" t="s">
        <v>56</v>
      </c>
      <c r="H45" s="32">
        <v>1.0</v>
      </c>
      <c r="I45" s="32"/>
      <c r="J45" s="32">
        <v>1.0</v>
      </c>
      <c r="K45" s="32"/>
      <c r="L45" s="32"/>
    </row>
    <row r="46" ht="14.25" customHeight="1">
      <c r="G46" s="31" t="s">
        <v>57</v>
      </c>
      <c r="H46" s="32">
        <v>1.0</v>
      </c>
      <c r="I46" s="32"/>
      <c r="J46" s="32">
        <v>1.0</v>
      </c>
      <c r="K46" s="32"/>
      <c r="L46" s="32">
        <v>1.0</v>
      </c>
    </row>
    <row r="47" ht="14.25" customHeight="1">
      <c r="G47" s="31" t="s">
        <v>58</v>
      </c>
      <c r="H47" s="32">
        <v>1.0</v>
      </c>
      <c r="I47" s="32"/>
      <c r="J47" s="32">
        <v>1.0</v>
      </c>
      <c r="K47" s="32"/>
      <c r="L47" s="32">
        <v>1.0</v>
      </c>
    </row>
    <row r="48" ht="14.25" customHeight="1">
      <c r="G48" s="31" t="s">
        <v>59</v>
      </c>
      <c r="H48" s="32">
        <v>1.0</v>
      </c>
      <c r="I48" s="32"/>
      <c r="J48" s="32">
        <v>1.0</v>
      </c>
      <c r="K48" s="32"/>
      <c r="L48" s="32"/>
    </row>
    <row r="49" ht="14.25" customHeight="1"/>
    <row r="50" ht="14.25" customHeight="1"/>
    <row r="51" ht="14.25" customHeight="1">
      <c r="F51" s="12" t="s">
        <v>60</v>
      </c>
      <c r="G51" s="31" t="s">
        <v>61</v>
      </c>
      <c r="H51" s="32"/>
      <c r="I51" s="32">
        <v>1.0</v>
      </c>
      <c r="J51" s="32"/>
      <c r="K51" s="32">
        <v>1.0</v>
      </c>
      <c r="L51" s="32"/>
    </row>
    <row r="52" ht="14.25" customHeight="1">
      <c r="F52" s="12" t="s">
        <v>60</v>
      </c>
      <c r="G52" s="31" t="s">
        <v>62</v>
      </c>
      <c r="H52" s="32"/>
      <c r="I52" s="32">
        <v>1.0</v>
      </c>
      <c r="J52" s="32"/>
      <c r="K52" s="32">
        <v>1.0</v>
      </c>
      <c r="L52" s="32"/>
    </row>
    <row r="53" ht="14.25" customHeight="1">
      <c r="F53" s="12" t="s">
        <v>60</v>
      </c>
      <c r="G53" s="31" t="s">
        <v>63</v>
      </c>
      <c r="H53" s="32"/>
      <c r="I53" s="32"/>
      <c r="J53" s="32"/>
      <c r="K53" s="32">
        <v>1.0</v>
      </c>
      <c r="L53" s="32"/>
    </row>
    <row r="54" ht="14.25" customHeight="1"/>
    <row r="55" ht="14.25" customHeight="1"/>
    <row r="56" ht="14.25" customHeight="1">
      <c r="F56" s="33" t="s">
        <v>64</v>
      </c>
      <c r="G56" s="34" t="s">
        <v>65</v>
      </c>
      <c r="H56" s="32"/>
      <c r="I56" s="32"/>
      <c r="J56" s="32"/>
      <c r="K56" s="32"/>
      <c r="L56" s="32">
        <v>1.0</v>
      </c>
    </row>
    <row r="57" ht="14.25" customHeight="1">
      <c r="F57" s="33" t="s">
        <v>64</v>
      </c>
      <c r="G57" s="34" t="s">
        <v>66</v>
      </c>
      <c r="H57" s="32"/>
      <c r="I57" s="32"/>
      <c r="J57" s="32"/>
      <c r="K57" s="32"/>
      <c r="L57" s="32">
        <v>1.0</v>
      </c>
    </row>
    <row r="58" ht="14.25" customHeight="1">
      <c r="F58" s="33" t="s">
        <v>64</v>
      </c>
      <c r="G58" s="34" t="s">
        <v>67</v>
      </c>
      <c r="H58" s="32"/>
      <c r="I58" s="32"/>
      <c r="J58" s="32"/>
      <c r="K58" s="32"/>
      <c r="L58" s="32">
        <v>1.0</v>
      </c>
    </row>
    <row r="59" ht="14.25" customHeight="1">
      <c r="F59" s="33" t="s">
        <v>64</v>
      </c>
      <c r="G59" s="34" t="s">
        <v>68</v>
      </c>
      <c r="H59" s="32"/>
      <c r="I59" s="32"/>
      <c r="J59" s="32"/>
      <c r="K59" s="32"/>
      <c r="L59" s="32">
        <v>1.0</v>
      </c>
    </row>
    <row r="60" ht="14.25" customHeight="1">
      <c r="F60" s="33" t="s">
        <v>64</v>
      </c>
      <c r="G60" s="34" t="s">
        <v>69</v>
      </c>
      <c r="H60" s="32"/>
      <c r="I60" s="32"/>
      <c r="J60" s="32"/>
      <c r="K60" s="32"/>
      <c r="L60" s="32">
        <v>1.0</v>
      </c>
    </row>
    <row r="61" ht="14.25" customHeight="1">
      <c r="F61" s="33" t="s">
        <v>64</v>
      </c>
      <c r="G61" s="34" t="s">
        <v>70</v>
      </c>
      <c r="H61" s="32"/>
      <c r="I61" s="32"/>
      <c r="J61" s="32"/>
      <c r="K61" s="32"/>
      <c r="L61" s="32">
        <v>1.0</v>
      </c>
    </row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">
    <mergeCell ref="E2:E3"/>
    <mergeCell ref="B2:C2"/>
  </mergeCells>
  <conditionalFormatting sqref="C3:C6 L8:L43 H10:K43 H45:L48 H51:L53 H56:L61">
    <cfRule type="cellIs" dxfId="0" priority="1" operator="equal">
      <formula>1</formula>
    </cfRule>
  </conditionalFormatting>
  <conditionalFormatting sqref="C3:C6 L8:L43 H10:K43 H45:L48 H51:L53 H56:L61">
    <cfRule type="cellIs" dxfId="1" priority="2" operator="equal">
      <formula>2</formula>
    </cfRule>
  </conditionalFormatting>
  <conditionalFormatting sqref="C3:C6 L8:L43 H10:K43 H45:L48 H51:L53 H56:L61">
    <cfRule type="cellIs" dxfId="2" priority="3" operator="equal">
      <formula>3</formula>
    </cfRule>
  </conditionalFormatting>
  <conditionalFormatting sqref="C3:C6 L8:L43 H10:K43 H45:L48 H51:L53 H56:L61">
    <cfRule type="containsBlanks" dxfId="3" priority="4">
      <formula>LEN(TRIM(C3))=0</formula>
    </cfRule>
  </conditionalFormatting>
  <conditionalFormatting sqref="O10">
    <cfRule type="notContainsBlanks" dxfId="4" priority="5">
      <formula>LEN(TRIM(O10))&gt;0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7.0" topLeftCell="H1" activePane="topRight" state="frozen"/>
      <selection activeCell="I2" sqref="I2" pane="topRight"/>
    </sheetView>
  </sheetViews>
  <sheetFormatPr customHeight="1" defaultColWidth="14.43" defaultRowHeight="15.0"/>
  <cols>
    <col customWidth="1" min="1" max="1" width="3.71"/>
    <col customWidth="1" min="2" max="3" width="11.14"/>
    <col customWidth="1" min="4" max="4" width="5.0"/>
    <col customWidth="1" min="5" max="5" width="11.14"/>
    <col customWidth="1" min="6" max="6" width="11.29"/>
    <col customWidth="1" min="7" max="7" width="13.14"/>
    <col customWidth="1" min="8" max="9" width="12.71"/>
    <col customWidth="1" min="10" max="10" width="8.71"/>
    <col customWidth="1" min="11" max="11" width="13.57"/>
    <col customWidth="1" min="12" max="27" width="8.71"/>
  </cols>
  <sheetData>
    <row r="1" ht="14.25" customHeight="1"/>
    <row r="2" ht="14.25" customHeight="1">
      <c r="B2" s="1" t="s">
        <v>0</v>
      </c>
      <c r="C2" s="2"/>
      <c r="E2" s="3" t="s">
        <v>1</v>
      </c>
      <c r="F2" s="4" t="s">
        <v>2</v>
      </c>
      <c r="G2" s="5"/>
      <c r="H2" s="6">
        <f t="shared" ref="H2:I2" si="1">COUNTIF(H10:H43, "1")</f>
        <v>12</v>
      </c>
      <c r="I2" s="6">
        <f t="shared" si="1"/>
        <v>11</v>
      </c>
    </row>
    <row r="3" ht="14.25" customHeight="1">
      <c r="B3" s="7" t="s">
        <v>2</v>
      </c>
      <c r="C3" s="8">
        <v>1.0</v>
      </c>
      <c r="F3" s="9" t="s">
        <v>3</v>
      </c>
      <c r="H3" s="10">
        <f t="shared" ref="H3:I3" si="2">COUNTIF(H10:H43, "2")</f>
        <v>16</v>
      </c>
      <c r="I3" s="10">
        <f t="shared" si="2"/>
        <v>19</v>
      </c>
    </row>
    <row r="4" ht="14.25" customHeight="1">
      <c r="B4" s="7" t="s">
        <v>3</v>
      </c>
      <c r="C4" s="11">
        <v>2.0</v>
      </c>
      <c r="F4" s="9" t="s">
        <v>4</v>
      </c>
      <c r="H4" s="10">
        <f t="shared" ref="H4:I4" si="3">COUNTIF(H45:H61, "1")</f>
        <v>2</v>
      </c>
      <c r="I4" s="10">
        <f t="shared" si="3"/>
        <v>3</v>
      </c>
      <c r="J4" s="12"/>
      <c r="K4" s="12"/>
    </row>
    <row r="5" ht="14.25" customHeight="1">
      <c r="A5" s="13"/>
      <c r="B5" s="14" t="s">
        <v>5</v>
      </c>
      <c r="C5" s="15">
        <v>3.0</v>
      </c>
      <c r="F5" s="9" t="s">
        <v>5</v>
      </c>
      <c r="H5" s="10">
        <f t="shared" ref="H5:I5" si="4">COUNTIF(H10:H43, "3")</f>
        <v>6</v>
      </c>
      <c r="I5" s="10">
        <f t="shared" si="4"/>
        <v>4</v>
      </c>
    </row>
    <row r="6" ht="14.25" customHeight="1">
      <c r="A6" s="16"/>
      <c r="B6" s="17" t="s">
        <v>6</v>
      </c>
      <c r="C6" s="18"/>
      <c r="F6" s="19" t="s">
        <v>7</v>
      </c>
      <c r="G6" s="20"/>
      <c r="H6" s="21">
        <f t="shared" ref="H6:I6" si="5">H2+H4+H5</f>
        <v>20</v>
      </c>
      <c r="I6" s="21">
        <f t="shared" si="5"/>
        <v>18</v>
      </c>
    </row>
    <row r="7" ht="14.25" customHeight="1">
      <c r="A7" s="16"/>
    </row>
    <row r="8" ht="14.25" customHeight="1">
      <c r="A8" s="22"/>
      <c r="E8" s="23" t="s">
        <v>8</v>
      </c>
      <c r="F8" s="24"/>
      <c r="G8" s="25"/>
      <c r="H8" s="26" t="s">
        <v>10</v>
      </c>
      <c r="I8" s="26" t="s">
        <v>10</v>
      </c>
      <c r="K8" s="35" t="s">
        <v>71</v>
      </c>
    </row>
    <row r="9" ht="14.25" customHeight="1">
      <c r="A9" s="16"/>
      <c r="F9" s="28" t="s">
        <v>13</v>
      </c>
      <c r="G9" s="28" t="s">
        <v>14</v>
      </c>
      <c r="H9" s="29">
        <v>45850.0</v>
      </c>
      <c r="I9" s="29">
        <v>45871.0</v>
      </c>
    </row>
    <row r="10" ht="14.25" customHeight="1">
      <c r="F10" s="12" t="s">
        <v>15</v>
      </c>
      <c r="G10" s="31" t="s">
        <v>16</v>
      </c>
      <c r="H10" s="32">
        <v>2.0</v>
      </c>
      <c r="I10" s="32">
        <v>1.0</v>
      </c>
      <c r="K10" s="36">
        <f t="shared" ref="K10:K43" si="6">COUNTIF(H10:I10, "1")</f>
        <v>1</v>
      </c>
    </row>
    <row r="11" ht="14.25" customHeight="1">
      <c r="F11" s="12" t="s">
        <v>17</v>
      </c>
      <c r="G11" s="31" t="s">
        <v>18</v>
      </c>
      <c r="H11" s="32">
        <v>1.0</v>
      </c>
      <c r="I11" s="32">
        <v>2.0</v>
      </c>
      <c r="K11" s="36">
        <f t="shared" si="6"/>
        <v>1</v>
      </c>
    </row>
    <row r="12" ht="14.25" customHeight="1">
      <c r="F12" s="12" t="s">
        <v>17</v>
      </c>
      <c r="G12" s="31" t="s">
        <v>19</v>
      </c>
      <c r="H12" s="32">
        <v>2.0</v>
      </c>
      <c r="I12" s="32">
        <v>2.0</v>
      </c>
      <c r="K12" s="36">
        <f t="shared" si="6"/>
        <v>0</v>
      </c>
    </row>
    <row r="13" ht="14.25" customHeight="1">
      <c r="F13" s="12" t="s">
        <v>20</v>
      </c>
      <c r="G13" s="31" t="s">
        <v>21</v>
      </c>
      <c r="H13" s="32">
        <v>2.0</v>
      </c>
      <c r="I13" s="32">
        <v>2.0</v>
      </c>
      <c r="K13" s="36">
        <f t="shared" si="6"/>
        <v>0</v>
      </c>
    </row>
    <row r="14" ht="14.25" customHeight="1">
      <c r="F14" s="12" t="s">
        <v>20</v>
      </c>
      <c r="G14" s="31" t="s">
        <v>22</v>
      </c>
      <c r="H14" s="32">
        <v>2.0</v>
      </c>
      <c r="I14" s="32">
        <v>1.0</v>
      </c>
      <c r="K14" s="36">
        <f t="shared" si="6"/>
        <v>1</v>
      </c>
    </row>
    <row r="15" ht="14.25" customHeight="1">
      <c r="F15" s="12" t="s">
        <v>20</v>
      </c>
      <c r="G15" s="31" t="s">
        <v>23</v>
      </c>
      <c r="H15" s="32">
        <v>3.0</v>
      </c>
      <c r="I15" s="32">
        <v>2.0</v>
      </c>
      <c r="K15" s="36">
        <f t="shared" si="6"/>
        <v>0</v>
      </c>
    </row>
    <row r="16" ht="14.25" customHeight="1">
      <c r="F16" s="12" t="s">
        <v>20</v>
      </c>
      <c r="G16" s="31" t="s">
        <v>24</v>
      </c>
      <c r="H16" s="32">
        <v>3.0</v>
      </c>
      <c r="I16" s="32">
        <v>2.0</v>
      </c>
      <c r="K16" s="36">
        <f t="shared" si="6"/>
        <v>0</v>
      </c>
    </row>
    <row r="17" ht="14.25" customHeight="1">
      <c r="F17" s="12" t="s">
        <v>20</v>
      </c>
      <c r="G17" s="31" t="s">
        <v>25</v>
      </c>
      <c r="H17" s="32">
        <v>2.0</v>
      </c>
      <c r="I17" s="32">
        <v>2.0</v>
      </c>
      <c r="K17" s="36">
        <f t="shared" si="6"/>
        <v>0</v>
      </c>
    </row>
    <row r="18" ht="14.25" customHeight="1">
      <c r="F18" s="12" t="s">
        <v>26</v>
      </c>
      <c r="G18" s="31" t="s">
        <v>27</v>
      </c>
      <c r="H18" s="32">
        <v>1.0</v>
      </c>
      <c r="I18" s="32">
        <v>2.0</v>
      </c>
      <c r="K18" s="36">
        <f t="shared" si="6"/>
        <v>1</v>
      </c>
    </row>
    <row r="19" ht="14.25" customHeight="1">
      <c r="F19" s="12" t="s">
        <v>26</v>
      </c>
      <c r="G19" s="31" t="s">
        <v>28</v>
      </c>
      <c r="H19" s="32">
        <v>2.0</v>
      </c>
      <c r="I19" s="32">
        <v>2.0</v>
      </c>
      <c r="K19" s="36">
        <f t="shared" si="6"/>
        <v>0</v>
      </c>
    </row>
    <row r="20" ht="14.25" customHeight="1">
      <c r="F20" s="12" t="s">
        <v>26</v>
      </c>
      <c r="G20" s="31" t="s">
        <v>29</v>
      </c>
      <c r="H20" s="32">
        <v>1.0</v>
      </c>
      <c r="I20" s="32">
        <v>2.0</v>
      </c>
      <c r="K20" s="36">
        <f t="shared" si="6"/>
        <v>1</v>
      </c>
    </row>
    <row r="21" ht="14.25" customHeight="1">
      <c r="F21" s="12" t="s">
        <v>26</v>
      </c>
      <c r="G21" s="31" t="s">
        <v>30</v>
      </c>
      <c r="H21" s="32">
        <v>2.0</v>
      </c>
      <c r="I21" s="32">
        <v>2.0</v>
      </c>
      <c r="K21" s="36">
        <f t="shared" si="6"/>
        <v>0</v>
      </c>
    </row>
    <row r="22" ht="14.25" customHeight="1">
      <c r="F22" s="12" t="s">
        <v>26</v>
      </c>
      <c r="G22" s="31" t="s">
        <v>31</v>
      </c>
      <c r="H22" s="32">
        <v>1.0</v>
      </c>
      <c r="I22" s="32">
        <v>1.0</v>
      </c>
      <c r="K22" s="36">
        <f t="shared" si="6"/>
        <v>2</v>
      </c>
    </row>
    <row r="23" ht="14.25" customHeight="1">
      <c r="F23" s="12" t="s">
        <v>26</v>
      </c>
      <c r="G23" s="31" t="s">
        <v>32</v>
      </c>
      <c r="H23" s="32">
        <v>2.0</v>
      </c>
      <c r="I23" s="32">
        <v>2.0</v>
      </c>
      <c r="K23" s="36">
        <f t="shared" si="6"/>
        <v>0</v>
      </c>
    </row>
    <row r="24" ht="14.25" customHeight="1">
      <c r="F24" s="12" t="s">
        <v>26</v>
      </c>
      <c r="G24" s="31" t="s">
        <v>33</v>
      </c>
      <c r="H24" s="32">
        <v>1.0</v>
      </c>
      <c r="I24" s="32">
        <v>2.0</v>
      </c>
      <c r="K24" s="36">
        <f t="shared" si="6"/>
        <v>1</v>
      </c>
    </row>
    <row r="25" ht="14.25" customHeight="1">
      <c r="F25" s="12" t="s">
        <v>34</v>
      </c>
      <c r="G25" s="31" t="s">
        <v>35</v>
      </c>
      <c r="H25" s="32">
        <v>2.0</v>
      </c>
      <c r="I25" s="32">
        <v>2.0</v>
      </c>
      <c r="K25" s="36">
        <f t="shared" si="6"/>
        <v>0</v>
      </c>
    </row>
    <row r="26" ht="14.25" customHeight="1">
      <c r="F26" s="12" t="s">
        <v>34</v>
      </c>
      <c r="G26" s="31" t="s">
        <v>36</v>
      </c>
      <c r="H26" s="32">
        <v>1.0</v>
      </c>
      <c r="I26" s="32">
        <v>1.0</v>
      </c>
      <c r="K26" s="36">
        <f t="shared" si="6"/>
        <v>2</v>
      </c>
    </row>
    <row r="27" ht="14.25" customHeight="1">
      <c r="F27" s="12" t="s">
        <v>34</v>
      </c>
      <c r="G27" s="31" t="s">
        <v>37</v>
      </c>
      <c r="H27" s="32">
        <v>2.0</v>
      </c>
      <c r="I27" s="32">
        <v>2.0</v>
      </c>
      <c r="K27" s="36">
        <f t="shared" si="6"/>
        <v>0</v>
      </c>
    </row>
    <row r="28" ht="14.25" customHeight="1">
      <c r="F28" s="12" t="s">
        <v>34</v>
      </c>
      <c r="G28" s="31" t="s">
        <v>38</v>
      </c>
      <c r="H28" s="32">
        <v>1.0</v>
      </c>
      <c r="I28" s="32">
        <v>2.0</v>
      </c>
      <c r="K28" s="36">
        <f t="shared" si="6"/>
        <v>1</v>
      </c>
    </row>
    <row r="29" ht="14.25" customHeight="1">
      <c r="F29" s="12" t="s">
        <v>34</v>
      </c>
      <c r="G29" s="31" t="s">
        <v>39</v>
      </c>
      <c r="H29" s="32">
        <v>1.0</v>
      </c>
      <c r="I29" s="32">
        <v>1.0</v>
      </c>
      <c r="K29" s="36">
        <f t="shared" si="6"/>
        <v>2</v>
      </c>
    </row>
    <row r="30" ht="14.25" customHeight="1">
      <c r="F30" s="12" t="s">
        <v>34</v>
      </c>
      <c r="G30" s="31" t="s">
        <v>40</v>
      </c>
      <c r="H30" s="32">
        <v>1.0</v>
      </c>
      <c r="I30" s="32">
        <v>1.0</v>
      </c>
      <c r="K30" s="36">
        <f t="shared" si="6"/>
        <v>2</v>
      </c>
    </row>
    <row r="31" ht="14.25" customHeight="1">
      <c r="F31" s="12" t="s">
        <v>34</v>
      </c>
      <c r="G31" s="31" t="s">
        <v>41</v>
      </c>
      <c r="H31" s="32">
        <v>2.0</v>
      </c>
      <c r="I31" s="32">
        <v>1.0</v>
      </c>
      <c r="K31" s="36">
        <f t="shared" si="6"/>
        <v>1</v>
      </c>
    </row>
    <row r="32" ht="14.25" customHeight="1">
      <c r="F32" s="12" t="s">
        <v>42</v>
      </c>
      <c r="G32" s="31" t="s">
        <v>43</v>
      </c>
      <c r="H32" s="32">
        <v>2.0</v>
      </c>
      <c r="I32" s="32">
        <v>2.0</v>
      </c>
      <c r="K32" s="36">
        <f t="shared" si="6"/>
        <v>0</v>
      </c>
    </row>
    <row r="33" ht="14.25" customHeight="1">
      <c r="F33" s="12" t="s">
        <v>42</v>
      </c>
      <c r="G33" s="31" t="s">
        <v>44</v>
      </c>
      <c r="H33" s="32">
        <v>2.0</v>
      </c>
      <c r="I33" s="32">
        <v>2.0</v>
      </c>
      <c r="K33" s="36">
        <f t="shared" si="6"/>
        <v>0</v>
      </c>
    </row>
    <row r="34" ht="14.25" customHeight="1">
      <c r="F34" s="12" t="s">
        <v>42</v>
      </c>
      <c r="G34" s="31" t="s">
        <v>45</v>
      </c>
      <c r="H34" s="32">
        <v>2.0</v>
      </c>
      <c r="I34" s="32">
        <v>2.0</v>
      </c>
      <c r="K34" s="36">
        <f t="shared" si="6"/>
        <v>0</v>
      </c>
    </row>
    <row r="35" ht="14.25" customHeight="1">
      <c r="F35" s="12" t="s">
        <v>42</v>
      </c>
      <c r="G35" s="31" t="s">
        <v>46</v>
      </c>
      <c r="H35" s="32">
        <v>2.0</v>
      </c>
      <c r="I35" s="32">
        <v>2.0</v>
      </c>
      <c r="K35" s="36">
        <f t="shared" si="6"/>
        <v>0</v>
      </c>
    </row>
    <row r="36" ht="14.25" customHeight="1">
      <c r="F36" s="12" t="s">
        <v>42</v>
      </c>
      <c r="G36" s="31" t="s">
        <v>47</v>
      </c>
      <c r="H36" s="32">
        <v>3.0</v>
      </c>
      <c r="I36" s="32">
        <v>3.0</v>
      </c>
      <c r="K36" s="36">
        <f t="shared" si="6"/>
        <v>0</v>
      </c>
    </row>
    <row r="37" ht="14.25" customHeight="1">
      <c r="F37" s="12" t="s">
        <v>42</v>
      </c>
      <c r="G37" s="31" t="s">
        <v>48</v>
      </c>
      <c r="H37" s="32">
        <v>2.0</v>
      </c>
      <c r="I37" s="32">
        <v>1.0</v>
      </c>
      <c r="K37" s="36">
        <f t="shared" si="6"/>
        <v>1</v>
      </c>
    </row>
    <row r="38" ht="14.25" customHeight="1">
      <c r="F38" s="12" t="s">
        <v>49</v>
      </c>
      <c r="G38" s="31" t="s">
        <v>50</v>
      </c>
      <c r="H38" s="32">
        <v>3.0</v>
      </c>
      <c r="I38" s="32">
        <v>3.0</v>
      </c>
      <c r="K38" s="36">
        <f t="shared" si="6"/>
        <v>0</v>
      </c>
    </row>
    <row r="39" ht="14.25" customHeight="1">
      <c r="F39" s="12" t="s">
        <v>49</v>
      </c>
      <c r="G39" s="31" t="s">
        <v>51</v>
      </c>
      <c r="H39" s="32">
        <v>3.0</v>
      </c>
      <c r="I39" s="32">
        <v>3.0</v>
      </c>
      <c r="K39" s="36">
        <f t="shared" si="6"/>
        <v>0</v>
      </c>
    </row>
    <row r="40" ht="14.25" customHeight="1">
      <c r="F40" s="12" t="s">
        <v>49</v>
      </c>
      <c r="G40" s="31" t="s">
        <v>52</v>
      </c>
      <c r="H40" s="32">
        <v>1.0</v>
      </c>
      <c r="I40" s="32">
        <v>1.0</v>
      </c>
      <c r="K40" s="36">
        <f t="shared" si="6"/>
        <v>2</v>
      </c>
    </row>
    <row r="41" ht="14.25" customHeight="1">
      <c r="F41" s="12" t="s">
        <v>49</v>
      </c>
      <c r="G41" s="31" t="s">
        <v>53</v>
      </c>
      <c r="H41" s="32">
        <v>3.0</v>
      </c>
      <c r="I41" s="32">
        <v>3.0</v>
      </c>
      <c r="K41" s="36">
        <f t="shared" si="6"/>
        <v>0</v>
      </c>
    </row>
    <row r="42" ht="14.25" customHeight="1">
      <c r="F42" s="12" t="s">
        <v>49</v>
      </c>
      <c r="G42" s="31" t="s">
        <v>54</v>
      </c>
      <c r="H42" s="32">
        <v>1.0</v>
      </c>
      <c r="I42" s="32">
        <v>1.0</v>
      </c>
      <c r="K42" s="36">
        <f t="shared" si="6"/>
        <v>2</v>
      </c>
    </row>
    <row r="43" ht="14.25" customHeight="1">
      <c r="F43" s="12" t="s">
        <v>49</v>
      </c>
      <c r="G43" s="31" t="s">
        <v>55</v>
      </c>
      <c r="H43" s="32">
        <v>1.0</v>
      </c>
      <c r="I43" s="32">
        <v>1.0</v>
      </c>
      <c r="K43" s="36">
        <f t="shared" si="6"/>
        <v>2</v>
      </c>
    </row>
    <row r="44" ht="14.25" customHeight="1">
      <c r="K44" s="3"/>
    </row>
    <row r="45" ht="14.25" customHeight="1">
      <c r="G45" s="31" t="s">
        <v>56</v>
      </c>
      <c r="H45" s="32"/>
      <c r="I45" s="32"/>
      <c r="K45" s="36">
        <f>COUNTIF(H45:I45, "1")</f>
        <v>0</v>
      </c>
    </row>
    <row r="46" ht="14.25" customHeight="1">
      <c r="G46" s="31" t="s">
        <v>57</v>
      </c>
      <c r="H46" s="32"/>
      <c r="I46" s="32"/>
      <c r="K46" s="36">
        <f>COUNTIF(H47:I47, "1")</f>
        <v>0</v>
      </c>
    </row>
    <row r="47" ht="14.25" customHeight="1">
      <c r="G47" s="31" t="s">
        <v>58</v>
      </c>
      <c r="H47" s="32"/>
      <c r="I47" s="32"/>
      <c r="K47" s="36">
        <f t="shared" ref="K47:K48" si="7">COUNTIF(H47:I47, "1")</f>
        <v>0</v>
      </c>
    </row>
    <row r="48" ht="14.25" customHeight="1">
      <c r="G48" s="31" t="s">
        <v>59</v>
      </c>
      <c r="H48" s="32"/>
      <c r="I48" s="32"/>
      <c r="K48" s="36">
        <f t="shared" si="7"/>
        <v>0</v>
      </c>
    </row>
    <row r="49" ht="14.25" customHeight="1">
      <c r="K49" s="36"/>
    </row>
    <row r="50" ht="14.25" customHeight="1">
      <c r="K50" s="36"/>
    </row>
    <row r="51" ht="14.25" customHeight="1">
      <c r="F51" s="12" t="s">
        <v>60</v>
      </c>
      <c r="G51" s="31" t="s">
        <v>61</v>
      </c>
      <c r="H51" s="32">
        <v>1.0</v>
      </c>
      <c r="I51" s="32">
        <v>1.0</v>
      </c>
      <c r="K51" s="36">
        <f t="shared" ref="K51:K53" si="8">COUNTIF(H51:I51, "1")</f>
        <v>2</v>
      </c>
    </row>
    <row r="52" ht="14.25" customHeight="1">
      <c r="F52" s="12" t="s">
        <v>60</v>
      </c>
      <c r="G52" s="31" t="s">
        <v>62</v>
      </c>
      <c r="H52" s="32">
        <v>1.0</v>
      </c>
      <c r="I52" s="32">
        <v>1.0</v>
      </c>
      <c r="K52" s="36">
        <f t="shared" si="8"/>
        <v>2</v>
      </c>
    </row>
    <row r="53" ht="14.25" customHeight="1">
      <c r="F53" s="12" t="s">
        <v>60</v>
      </c>
      <c r="G53" s="31" t="s">
        <v>63</v>
      </c>
      <c r="H53" s="32"/>
      <c r="I53" s="32">
        <v>1.0</v>
      </c>
      <c r="K53" s="36">
        <f t="shared" si="8"/>
        <v>1</v>
      </c>
    </row>
    <row r="54" ht="14.25" customHeight="1">
      <c r="K54" s="36"/>
    </row>
    <row r="55" ht="14.25" customHeight="1">
      <c r="K55" s="36"/>
    </row>
    <row r="56" ht="14.25" customHeight="1">
      <c r="F56" s="33" t="s">
        <v>64</v>
      </c>
      <c r="G56" s="34" t="s">
        <v>65</v>
      </c>
      <c r="H56" s="32"/>
      <c r="I56" s="32"/>
      <c r="K56" s="36">
        <f t="shared" ref="K56:K61" si="9">COUNTIF(H56:I56, "1")</f>
        <v>0</v>
      </c>
    </row>
    <row r="57" ht="14.25" customHeight="1">
      <c r="F57" s="33" t="s">
        <v>64</v>
      </c>
      <c r="G57" s="34" t="s">
        <v>66</v>
      </c>
      <c r="H57" s="32"/>
      <c r="I57" s="32"/>
      <c r="K57" s="36">
        <f t="shared" si="9"/>
        <v>0</v>
      </c>
    </row>
    <row r="58" ht="14.25" customHeight="1">
      <c r="F58" s="33" t="s">
        <v>64</v>
      </c>
      <c r="G58" s="34" t="s">
        <v>67</v>
      </c>
      <c r="H58" s="32"/>
      <c r="I58" s="32"/>
      <c r="K58" s="36">
        <f t="shared" si="9"/>
        <v>0</v>
      </c>
    </row>
    <row r="59" ht="14.25" customHeight="1">
      <c r="F59" s="33" t="s">
        <v>64</v>
      </c>
      <c r="G59" s="34" t="s">
        <v>68</v>
      </c>
      <c r="H59" s="32"/>
      <c r="I59" s="32"/>
      <c r="K59" s="36">
        <f t="shared" si="9"/>
        <v>0</v>
      </c>
    </row>
    <row r="60" ht="14.25" customHeight="1">
      <c r="F60" s="33" t="s">
        <v>64</v>
      </c>
      <c r="G60" s="34" t="s">
        <v>69</v>
      </c>
      <c r="H60" s="32"/>
      <c r="I60" s="32"/>
      <c r="K60" s="36">
        <f t="shared" si="9"/>
        <v>0</v>
      </c>
    </row>
    <row r="61" ht="14.25" customHeight="1">
      <c r="F61" s="33" t="s">
        <v>64</v>
      </c>
      <c r="G61" s="34" t="s">
        <v>70</v>
      </c>
      <c r="H61" s="32"/>
      <c r="I61" s="32"/>
      <c r="K61" s="36">
        <f t="shared" si="9"/>
        <v>0</v>
      </c>
    </row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">
    <mergeCell ref="E2:E3"/>
    <mergeCell ref="B2:C2"/>
  </mergeCells>
  <conditionalFormatting sqref="C3:C6 H10:I43 H45:I48 H51:I53 H56:I61">
    <cfRule type="cellIs" dxfId="0" priority="1" operator="equal">
      <formula>1</formula>
    </cfRule>
  </conditionalFormatting>
  <conditionalFormatting sqref="C3:C6 H10:I43 H45:I48 H51:I53 H56:I61">
    <cfRule type="cellIs" dxfId="1" priority="2" operator="equal">
      <formula>2</formula>
    </cfRule>
  </conditionalFormatting>
  <conditionalFormatting sqref="C3:C6 H10:I43 H45:I48 H51:I53 H56:I61">
    <cfRule type="cellIs" dxfId="2" priority="3" operator="equal">
      <formula>3</formula>
    </cfRule>
  </conditionalFormatting>
  <conditionalFormatting sqref="C3:C6 H10:I43 H45:I48 H51:I53 H56:I61">
    <cfRule type="containsBlanks" dxfId="3" priority="4">
      <formula>LEN(TRIM(C3))=0</formula>
    </cfRule>
  </conditionalFormatting>
  <conditionalFormatting sqref="M10">
    <cfRule type="notContainsBlanks" dxfId="4" priority="5">
      <formula>LEN(TRIM(M10))&gt;0</formula>
    </cfRule>
  </conditionalFormatting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7.0" topLeftCell="H1" activePane="topRight" state="frozen"/>
      <selection activeCell="I2" sqref="I2" pane="topRight"/>
    </sheetView>
  </sheetViews>
  <sheetFormatPr customHeight="1" defaultColWidth="14.43" defaultRowHeight="15.0"/>
  <cols>
    <col customWidth="1" min="1" max="1" width="3.71"/>
    <col customWidth="1" min="2" max="3" width="11.14"/>
    <col customWidth="1" min="4" max="4" width="5.0"/>
    <col customWidth="1" min="5" max="5" width="11.14"/>
    <col customWidth="1" min="6" max="6" width="11.29"/>
    <col customWidth="1" min="7" max="7" width="13.14"/>
    <col customWidth="1" min="8" max="10" width="12.71"/>
    <col customWidth="1" min="11" max="11" width="8.71"/>
    <col customWidth="1" min="12" max="12" width="13.57"/>
    <col customWidth="1" min="13" max="28" width="8.71"/>
  </cols>
  <sheetData>
    <row r="1" ht="14.25" customHeight="1"/>
    <row r="2" ht="14.25" customHeight="1">
      <c r="B2" s="1" t="s">
        <v>0</v>
      </c>
      <c r="C2" s="2"/>
      <c r="E2" s="3" t="s">
        <v>1</v>
      </c>
      <c r="F2" s="4" t="s">
        <v>2</v>
      </c>
      <c r="G2" s="5"/>
      <c r="H2" s="6">
        <f t="shared" ref="H2:J2" si="1">COUNTIF(H10:H43, "1")</f>
        <v>31</v>
      </c>
      <c r="I2" s="6">
        <f t="shared" si="1"/>
        <v>32</v>
      </c>
      <c r="J2" s="6">
        <f t="shared" si="1"/>
        <v>29</v>
      </c>
    </row>
    <row r="3" ht="14.25" customHeight="1">
      <c r="B3" s="7" t="s">
        <v>2</v>
      </c>
      <c r="C3" s="8">
        <v>1.0</v>
      </c>
      <c r="F3" s="9" t="s">
        <v>3</v>
      </c>
      <c r="H3" s="10">
        <f t="shared" ref="H3:J3" si="2">COUNTIF(H10:H43, "2")</f>
        <v>3</v>
      </c>
      <c r="I3" s="10">
        <f t="shared" si="2"/>
        <v>2</v>
      </c>
      <c r="J3" s="10">
        <f t="shared" si="2"/>
        <v>5</v>
      </c>
    </row>
    <row r="4" ht="14.25" customHeight="1">
      <c r="B4" s="7" t="s">
        <v>3</v>
      </c>
      <c r="C4" s="11">
        <v>2.0</v>
      </c>
      <c r="F4" s="9" t="s">
        <v>4</v>
      </c>
      <c r="H4" s="10">
        <f t="shared" ref="H4:J4" si="3">COUNTIF(H45:H61, "1")</f>
        <v>4</v>
      </c>
      <c r="I4" s="10">
        <f t="shared" si="3"/>
        <v>4</v>
      </c>
      <c r="J4" s="10">
        <f t="shared" si="3"/>
        <v>8</v>
      </c>
      <c r="K4" s="12"/>
      <c r="L4" s="12"/>
    </row>
    <row r="5" ht="14.25" customHeight="1">
      <c r="A5" s="13"/>
      <c r="B5" s="14" t="s">
        <v>5</v>
      </c>
      <c r="C5" s="15">
        <v>3.0</v>
      </c>
      <c r="F5" s="9" t="s">
        <v>5</v>
      </c>
      <c r="H5" s="10">
        <f t="shared" ref="H5:J5" si="4">COUNTIF(H10:H43, "3")</f>
        <v>0</v>
      </c>
      <c r="I5" s="10">
        <f t="shared" si="4"/>
        <v>0</v>
      </c>
      <c r="J5" s="10">
        <f t="shared" si="4"/>
        <v>0</v>
      </c>
    </row>
    <row r="6" ht="14.25" customHeight="1">
      <c r="A6" s="16"/>
      <c r="B6" s="17" t="s">
        <v>6</v>
      </c>
      <c r="C6" s="18"/>
      <c r="F6" s="19" t="s">
        <v>7</v>
      </c>
      <c r="G6" s="20"/>
      <c r="H6" s="21">
        <f t="shared" ref="H6:J6" si="5">H2+H4+H5</f>
        <v>35</v>
      </c>
      <c r="I6" s="21">
        <f t="shared" si="5"/>
        <v>36</v>
      </c>
      <c r="J6" s="21">
        <f t="shared" si="5"/>
        <v>37</v>
      </c>
    </row>
    <row r="7" ht="14.25" customHeight="1">
      <c r="A7" s="16"/>
    </row>
    <row r="8" ht="14.25" customHeight="1">
      <c r="A8" s="22"/>
      <c r="E8" s="23" t="s">
        <v>8</v>
      </c>
      <c r="F8" s="24"/>
      <c r="G8" s="25"/>
      <c r="H8" s="26" t="s">
        <v>9</v>
      </c>
      <c r="I8" s="26" t="s">
        <v>11</v>
      </c>
      <c r="J8" s="27" t="s">
        <v>12</v>
      </c>
      <c r="L8" s="35" t="s">
        <v>71</v>
      </c>
    </row>
    <row r="9" ht="14.25" customHeight="1">
      <c r="A9" s="16"/>
      <c r="F9" s="28" t="s">
        <v>13</v>
      </c>
      <c r="G9" s="28" t="s">
        <v>14</v>
      </c>
      <c r="H9" s="29">
        <v>45832.0</v>
      </c>
      <c r="I9" s="29">
        <v>45868.0</v>
      </c>
      <c r="J9" s="30">
        <v>45883.0</v>
      </c>
    </row>
    <row r="10" ht="14.25" customHeight="1">
      <c r="F10" s="12" t="s">
        <v>15</v>
      </c>
      <c r="G10" s="31" t="s">
        <v>16</v>
      </c>
      <c r="H10" s="32">
        <v>1.0</v>
      </c>
      <c r="I10" s="32">
        <v>1.0</v>
      </c>
      <c r="J10" s="32">
        <v>1.0</v>
      </c>
      <c r="L10" s="36">
        <f t="shared" ref="L10:L43" si="6">COUNTIF(H10:J10, "1")</f>
        <v>3</v>
      </c>
    </row>
    <row r="11" ht="14.25" customHeight="1">
      <c r="F11" s="12" t="s">
        <v>17</v>
      </c>
      <c r="G11" s="31" t="s">
        <v>18</v>
      </c>
      <c r="H11" s="32">
        <v>1.0</v>
      </c>
      <c r="I11" s="32">
        <v>1.0</v>
      </c>
      <c r="J11" s="32">
        <v>2.0</v>
      </c>
      <c r="L11" s="36">
        <f t="shared" si="6"/>
        <v>2</v>
      </c>
    </row>
    <row r="12" ht="14.25" customHeight="1">
      <c r="F12" s="12" t="s">
        <v>17</v>
      </c>
      <c r="G12" s="31" t="s">
        <v>19</v>
      </c>
      <c r="H12" s="32">
        <v>1.0</v>
      </c>
      <c r="I12" s="32">
        <v>1.0</v>
      </c>
      <c r="J12" s="32">
        <v>1.0</v>
      </c>
      <c r="L12" s="36">
        <f t="shared" si="6"/>
        <v>3</v>
      </c>
    </row>
    <row r="13" ht="14.25" customHeight="1">
      <c r="F13" s="12" t="s">
        <v>20</v>
      </c>
      <c r="G13" s="31" t="s">
        <v>21</v>
      </c>
      <c r="H13" s="32">
        <v>1.0</v>
      </c>
      <c r="I13" s="32">
        <v>1.0</v>
      </c>
      <c r="J13" s="32">
        <v>1.0</v>
      </c>
      <c r="L13" s="36">
        <f t="shared" si="6"/>
        <v>3</v>
      </c>
    </row>
    <row r="14" ht="14.25" customHeight="1">
      <c r="F14" s="12" t="s">
        <v>20</v>
      </c>
      <c r="G14" s="31" t="s">
        <v>22</v>
      </c>
      <c r="H14" s="32">
        <v>1.0</v>
      </c>
      <c r="I14" s="32">
        <v>1.0</v>
      </c>
      <c r="J14" s="32">
        <v>1.0</v>
      </c>
      <c r="L14" s="36">
        <f t="shared" si="6"/>
        <v>3</v>
      </c>
    </row>
    <row r="15" ht="14.25" customHeight="1">
      <c r="F15" s="12" t="s">
        <v>20</v>
      </c>
      <c r="G15" s="31" t="s">
        <v>23</v>
      </c>
      <c r="H15" s="32">
        <v>2.0</v>
      </c>
      <c r="I15" s="32">
        <v>1.0</v>
      </c>
      <c r="J15" s="32">
        <v>2.0</v>
      </c>
      <c r="L15" s="36">
        <f t="shared" si="6"/>
        <v>1</v>
      </c>
    </row>
    <row r="16" ht="14.25" customHeight="1">
      <c r="F16" s="12" t="s">
        <v>20</v>
      </c>
      <c r="G16" s="31" t="s">
        <v>24</v>
      </c>
      <c r="H16" s="32">
        <v>1.0</v>
      </c>
      <c r="I16" s="32">
        <v>1.0</v>
      </c>
      <c r="J16" s="32">
        <v>1.0</v>
      </c>
      <c r="L16" s="36">
        <f t="shared" si="6"/>
        <v>3</v>
      </c>
    </row>
    <row r="17" ht="14.25" customHeight="1">
      <c r="F17" s="12" t="s">
        <v>20</v>
      </c>
      <c r="G17" s="31" t="s">
        <v>25</v>
      </c>
      <c r="H17" s="32">
        <v>1.0</v>
      </c>
      <c r="I17" s="32">
        <v>1.0</v>
      </c>
      <c r="J17" s="32">
        <v>1.0</v>
      </c>
      <c r="L17" s="36">
        <f t="shared" si="6"/>
        <v>3</v>
      </c>
    </row>
    <row r="18" ht="14.25" customHeight="1">
      <c r="F18" s="12" t="s">
        <v>26</v>
      </c>
      <c r="G18" s="31" t="s">
        <v>27</v>
      </c>
      <c r="H18" s="32">
        <v>1.0</v>
      </c>
      <c r="I18" s="32">
        <v>1.0</v>
      </c>
      <c r="J18" s="32">
        <v>1.0</v>
      </c>
      <c r="L18" s="36">
        <f t="shared" si="6"/>
        <v>3</v>
      </c>
    </row>
    <row r="19" ht="14.25" customHeight="1">
      <c r="F19" s="12" t="s">
        <v>26</v>
      </c>
      <c r="G19" s="31" t="s">
        <v>28</v>
      </c>
      <c r="H19" s="32">
        <v>1.0</v>
      </c>
      <c r="I19" s="32">
        <v>1.0</v>
      </c>
      <c r="J19" s="32">
        <v>1.0</v>
      </c>
      <c r="L19" s="36">
        <f t="shared" si="6"/>
        <v>3</v>
      </c>
    </row>
    <row r="20" ht="14.25" customHeight="1">
      <c r="F20" s="12" t="s">
        <v>26</v>
      </c>
      <c r="G20" s="31" t="s">
        <v>29</v>
      </c>
      <c r="H20" s="32">
        <v>1.0</v>
      </c>
      <c r="I20" s="32">
        <v>1.0</v>
      </c>
      <c r="J20" s="32">
        <v>2.0</v>
      </c>
      <c r="L20" s="36">
        <f t="shared" si="6"/>
        <v>2</v>
      </c>
    </row>
    <row r="21" ht="14.25" customHeight="1">
      <c r="F21" s="12" t="s">
        <v>26</v>
      </c>
      <c r="G21" s="31" t="s">
        <v>30</v>
      </c>
      <c r="H21" s="32">
        <v>1.0</v>
      </c>
      <c r="I21" s="32">
        <v>1.0</v>
      </c>
      <c r="J21" s="32">
        <v>1.0</v>
      </c>
      <c r="L21" s="36">
        <f t="shared" si="6"/>
        <v>3</v>
      </c>
    </row>
    <row r="22" ht="14.25" customHeight="1">
      <c r="F22" s="12" t="s">
        <v>26</v>
      </c>
      <c r="G22" s="31" t="s">
        <v>31</v>
      </c>
      <c r="H22" s="32">
        <v>1.0</v>
      </c>
      <c r="I22" s="32">
        <v>2.0</v>
      </c>
      <c r="J22" s="32">
        <v>1.0</v>
      </c>
      <c r="L22" s="36">
        <f t="shared" si="6"/>
        <v>2</v>
      </c>
    </row>
    <row r="23" ht="14.25" customHeight="1">
      <c r="F23" s="12" t="s">
        <v>26</v>
      </c>
      <c r="G23" s="31" t="s">
        <v>32</v>
      </c>
      <c r="H23" s="32">
        <v>1.0</v>
      </c>
      <c r="I23" s="32">
        <v>1.0</v>
      </c>
      <c r="J23" s="32">
        <v>2.0</v>
      </c>
      <c r="L23" s="36">
        <f t="shared" si="6"/>
        <v>2</v>
      </c>
    </row>
    <row r="24" ht="14.25" customHeight="1">
      <c r="F24" s="12" t="s">
        <v>26</v>
      </c>
      <c r="G24" s="31" t="s">
        <v>33</v>
      </c>
      <c r="H24" s="32">
        <v>2.0</v>
      </c>
      <c r="I24" s="32">
        <v>1.0</v>
      </c>
      <c r="J24" s="32">
        <v>1.0</v>
      </c>
      <c r="L24" s="36">
        <f t="shared" si="6"/>
        <v>2</v>
      </c>
    </row>
    <row r="25" ht="14.25" customHeight="1">
      <c r="F25" s="12" t="s">
        <v>34</v>
      </c>
      <c r="G25" s="31" t="s">
        <v>35</v>
      </c>
      <c r="H25" s="32">
        <v>1.0</v>
      </c>
      <c r="I25" s="32">
        <v>1.0</v>
      </c>
      <c r="J25" s="32">
        <v>1.0</v>
      </c>
      <c r="L25" s="36">
        <f t="shared" si="6"/>
        <v>3</v>
      </c>
    </row>
    <row r="26" ht="14.25" customHeight="1">
      <c r="F26" s="12" t="s">
        <v>34</v>
      </c>
      <c r="G26" s="31" t="s">
        <v>36</v>
      </c>
      <c r="H26" s="32">
        <v>1.0</v>
      </c>
      <c r="I26" s="32">
        <v>1.0</v>
      </c>
      <c r="J26" s="32">
        <v>1.0</v>
      </c>
      <c r="L26" s="36">
        <f t="shared" si="6"/>
        <v>3</v>
      </c>
    </row>
    <row r="27" ht="14.25" customHeight="1">
      <c r="F27" s="12" t="s">
        <v>34</v>
      </c>
      <c r="G27" s="31" t="s">
        <v>37</v>
      </c>
      <c r="H27" s="32">
        <v>1.0</v>
      </c>
      <c r="I27" s="32">
        <v>2.0</v>
      </c>
      <c r="J27" s="32">
        <v>2.0</v>
      </c>
      <c r="L27" s="36">
        <f t="shared" si="6"/>
        <v>1</v>
      </c>
    </row>
    <row r="28" ht="14.25" customHeight="1">
      <c r="F28" s="12" t="s">
        <v>34</v>
      </c>
      <c r="G28" s="31" t="s">
        <v>38</v>
      </c>
      <c r="H28" s="32">
        <v>1.0</v>
      </c>
      <c r="I28" s="32">
        <v>1.0</v>
      </c>
      <c r="J28" s="32">
        <v>1.0</v>
      </c>
      <c r="L28" s="36">
        <f t="shared" si="6"/>
        <v>3</v>
      </c>
    </row>
    <row r="29" ht="14.25" customHeight="1">
      <c r="F29" s="12" t="s">
        <v>34</v>
      </c>
      <c r="G29" s="31" t="s">
        <v>39</v>
      </c>
      <c r="H29" s="32">
        <v>1.0</v>
      </c>
      <c r="I29" s="32">
        <v>1.0</v>
      </c>
      <c r="J29" s="32">
        <v>1.0</v>
      </c>
      <c r="L29" s="36">
        <f t="shared" si="6"/>
        <v>3</v>
      </c>
    </row>
    <row r="30" ht="14.25" customHeight="1">
      <c r="F30" s="12" t="s">
        <v>34</v>
      </c>
      <c r="G30" s="31" t="s">
        <v>40</v>
      </c>
      <c r="H30" s="32">
        <v>1.0</v>
      </c>
      <c r="I30" s="32">
        <v>1.0</v>
      </c>
      <c r="J30" s="32">
        <v>1.0</v>
      </c>
      <c r="L30" s="36">
        <f t="shared" si="6"/>
        <v>3</v>
      </c>
    </row>
    <row r="31" ht="14.25" customHeight="1">
      <c r="F31" s="12" t="s">
        <v>34</v>
      </c>
      <c r="G31" s="31" t="s">
        <v>41</v>
      </c>
      <c r="H31" s="32">
        <v>1.0</v>
      </c>
      <c r="I31" s="32">
        <v>1.0</v>
      </c>
      <c r="J31" s="32">
        <v>1.0</v>
      </c>
      <c r="L31" s="36">
        <f t="shared" si="6"/>
        <v>3</v>
      </c>
    </row>
    <row r="32" ht="14.25" customHeight="1">
      <c r="F32" s="12" t="s">
        <v>42</v>
      </c>
      <c r="G32" s="31" t="s">
        <v>43</v>
      </c>
      <c r="H32" s="32">
        <v>1.0</v>
      </c>
      <c r="I32" s="32">
        <v>1.0</v>
      </c>
      <c r="J32" s="32">
        <v>1.0</v>
      </c>
      <c r="L32" s="36">
        <f t="shared" si="6"/>
        <v>3</v>
      </c>
    </row>
    <row r="33" ht="14.25" customHeight="1">
      <c r="F33" s="12" t="s">
        <v>42</v>
      </c>
      <c r="G33" s="31" t="s">
        <v>44</v>
      </c>
      <c r="H33" s="32">
        <v>1.0</v>
      </c>
      <c r="I33" s="32">
        <v>1.0</v>
      </c>
      <c r="J33" s="32">
        <v>1.0</v>
      </c>
      <c r="L33" s="36">
        <f t="shared" si="6"/>
        <v>3</v>
      </c>
    </row>
    <row r="34" ht="14.25" customHeight="1">
      <c r="F34" s="12" t="s">
        <v>42</v>
      </c>
      <c r="G34" s="31" t="s">
        <v>45</v>
      </c>
      <c r="H34" s="32">
        <v>1.0</v>
      </c>
      <c r="I34" s="32">
        <v>1.0</v>
      </c>
      <c r="J34" s="32">
        <v>1.0</v>
      </c>
      <c r="L34" s="36">
        <f t="shared" si="6"/>
        <v>3</v>
      </c>
    </row>
    <row r="35" ht="14.25" customHeight="1">
      <c r="F35" s="12" t="s">
        <v>42</v>
      </c>
      <c r="G35" s="31" t="s">
        <v>46</v>
      </c>
      <c r="H35" s="32">
        <v>1.0</v>
      </c>
      <c r="I35" s="32">
        <v>1.0</v>
      </c>
      <c r="J35" s="32">
        <v>1.0</v>
      </c>
      <c r="L35" s="36">
        <f t="shared" si="6"/>
        <v>3</v>
      </c>
    </row>
    <row r="36" ht="14.25" customHeight="1">
      <c r="F36" s="12" t="s">
        <v>42</v>
      </c>
      <c r="G36" s="31" t="s">
        <v>47</v>
      </c>
      <c r="H36" s="32">
        <v>2.0</v>
      </c>
      <c r="I36" s="32">
        <v>1.0</v>
      </c>
      <c r="J36" s="32">
        <v>1.0</v>
      </c>
      <c r="L36" s="36">
        <f t="shared" si="6"/>
        <v>2</v>
      </c>
    </row>
    <row r="37" ht="14.25" customHeight="1">
      <c r="F37" s="12" t="s">
        <v>42</v>
      </c>
      <c r="G37" s="31" t="s">
        <v>48</v>
      </c>
      <c r="H37" s="32">
        <v>1.0</v>
      </c>
      <c r="I37" s="32">
        <v>1.0</v>
      </c>
      <c r="J37" s="32">
        <v>1.0</v>
      </c>
      <c r="L37" s="36">
        <f t="shared" si="6"/>
        <v>3</v>
      </c>
    </row>
    <row r="38" ht="14.25" customHeight="1">
      <c r="F38" s="12" t="s">
        <v>49</v>
      </c>
      <c r="G38" s="31" t="s">
        <v>50</v>
      </c>
      <c r="H38" s="32">
        <v>1.0</v>
      </c>
      <c r="I38" s="32">
        <v>1.0</v>
      </c>
      <c r="J38" s="32">
        <v>1.0</v>
      </c>
      <c r="L38" s="36">
        <f t="shared" si="6"/>
        <v>3</v>
      </c>
    </row>
    <row r="39" ht="14.25" customHeight="1">
      <c r="F39" s="12" t="s">
        <v>49</v>
      </c>
      <c r="G39" s="31" t="s">
        <v>51</v>
      </c>
      <c r="H39" s="32">
        <v>1.0</v>
      </c>
      <c r="I39" s="32">
        <v>1.0</v>
      </c>
      <c r="J39" s="32">
        <v>1.0</v>
      </c>
      <c r="L39" s="36">
        <f t="shared" si="6"/>
        <v>3</v>
      </c>
    </row>
    <row r="40" ht="14.25" customHeight="1">
      <c r="F40" s="12" t="s">
        <v>49</v>
      </c>
      <c r="G40" s="31" t="s">
        <v>52</v>
      </c>
      <c r="H40" s="32">
        <v>1.0</v>
      </c>
      <c r="I40" s="32">
        <v>1.0</v>
      </c>
      <c r="J40" s="32">
        <v>1.0</v>
      </c>
      <c r="L40" s="36">
        <f t="shared" si="6"/>
        <v>3</v>
      </c>
    </row>
    <row r="41" ht="14.25" customHeight="1">
      <c r="F41" s="12" t="s">
        <v>49</v>
      </c>
      <c r="G41" s="31" t="s">
        <v>53</v>
      </c>
      <c r="H41" s="32">
        <v>1.0</v>
      </c>
      <c r="I41" s="32">
        <v>1.0</v>
      </c>
      <c r="J41" s="32">
        <v>1.0</v>
      </c>
      <c r="L41" s="36">
        <f t="shared" si="6"/>
        <v>3</v>
      </c>
    </row>
    <row r="42" ht="14.25" customHeight="1">
      <c r="F42" s="12" t="s">
        <v>49</v>
      </c>
      <c r="G42" s="31" t="s">
        <v>54</v>
      </c>
      <c r="H42" s="32">
        <v>1.0</v>
      </c>
      <c r="I42" s="32">
        <v>1.0</v>
      </c>
      <c r="J42" s="32">
        <v>1.0</v>
      </c>
      <c r="L42" s="36">
        <f t="shared" si="6"/>
        <v>3</v>
      </c>
    </row>
    <row r="43" ht="14.25" customHeight="1">
      <c r="F43" s="12" t="s">
        <v>49</v>
      </c>
      <c r="G43" s="31" t="s">
        <v>55</v>
      </c>
      <c r="H43" s="32">
        <v>1.0</v>
      </c>
      <c r="I43" s="32">
        <v>1.0</v>
      </c>
      <c r="J43" s="32">
        <v>1.0</v>
      </c>
      <c r="L43" s="36">
        <f t="shared" si="6"/>
        <v>3</v>
      </c>
    </row>
    <row r="44" ht="14.25" customHeight="1">
      <c r="L44" s="3"/>
    </row>
    <row r="45" ht="14.25" customHeight="1">
      <c r="G45" s="31" t="s">
        <v>56</v>
      </c>
      <c r="H45" s="32">
        <v>1.0</v>
      </c>
      <c r="I45" s="32">
        <v>1.0</v>
      </c>
      <c r="J45" s="32"/>
      <c r="L45" s="36">
        <f>COUNTIF(H45:J45, "1")</f>
        <v>2</v>
      </c>
    </row>
    <row r="46" ht="14.25" customHeight="1">
      <c r="G46" s="31" t="s">
        <v>57</v>
      </c>
      <c r="H46" s="32">
        <v>1.0</v>
      </c>
      <c r="I46" s="32">
        <v>1.0</v>
      </c>
      <c r="J46" s="32">
        <v>1.0</v>
      </c>
      <c r="L46" s="36">
        <f>COUNTIF(H47:J47, "1")</f>
        <v>3</v>
      </c>
    </row>
    <row r="47" ht="14.25" customHeight="1">
      <c r="G47" s="31" t="s">
        <v>58</v>
      </c>
      <c r="H47" s="32">
        <v>1.0</v>
      </c>
      <c r="I47" s="32">
        <v>1.0</v>
      </c>
      <c r="J47" s="32">
        <v>1.0</v>
      </c>
      <c r="L47" s="36">
        <f t="shared" ref="L47:L48" si="7">COUNTIF(H47:J47, "1")</f>
        <v>3</v>
      </c>
    </row>
    <row r="48" ht="14.25" customHeight="1">
      <c r="G48" s="31" t="s">
        <v>59</v>
      </c>
      <c r="H48" s="32">
        <v>1.0</v>
      </c>
      <c r="I48" s="32">
        <v>1.0</v>
      </c>
      <c r="J48" s="32"/>
      <c r="L48" s="36">
        <f t="shared" si="7"/>
        <v>2</v>
      </c>
    </row>
    <row r="49" ht="14.25" customHeight="1">
      <c r="L49" s="36"/>
    </row>
    <row r="50" ht="14.25" customHeight="1">
      <c r="L50" s="36"/>
    </row>
    <row r="51" ht="14.25" customHeight="1">
      <c r="F51" s="12" t="s">
        <v>60</v>
      </c>
      <c r="G51" s="31" t="s">
        <v>61</v>
      </c>
      <c r="H51" s="32"/>
      <c r="I51" s="32"/>
      <c r="J51" s="32"/>
      <c r="L51" s="36">
        <f t="shared" ref="L51:L53" si="8">COUNTIF(H51:J51, "1")</f>
        <v>0</v>
      </c>
    </row>
    <row r="52" ht="14.25" customHeight="1">
      <c r="F52" s="12" t="s">
        <v>60</v>
      </c>
      <c r="G52" s="31" t="s">
        <v>62</v>
      </c>
      <c r="H52" s="32"/>
      <c r="I52" s="32"/>
      <c r="J52" s="32"/>
      <c r="L52" s="36">
        <f t="shared" si="8"/>
        <v>0</v>
      </c>
    </row>
    <row r="53" ht="14.25" customHeight="1">
      <c r="F53" s="12" t="s">
        <v>60</v>
      </c>
      <c r="G53" s="31" t="s">
        <v>63</v>
      </c>
      <c r="H53" s="32"/>
      <c r="I53" s="32"/>
      <c r="J53" s="32"/>
      <c r="L53" s="36">
        <f t="shared" si="8"/>
        <v>0</v>
      </c>
    </row>
    <row r="54" ht="14.25" customHeight="1">
      <c r="L54" s="36"/>
    </row>
    <row r="55" ht="14.25" customHeight="1">
      <c r="L55" s="36"/>
    </row>
    <row r="56" ht="14.25" customHeight="1">
      <c r="F56" s="33" t="s">
        <v>64</v>
      </c>
      <c r="G56" s="34" t="s">
        <v>65</v>
      </c>
      <c r="H56" s="32"/>
      <c r="I56" s="32"/>
      <c r="J56" s="32">
        <v>1.0</v>
      </c>
      <c r="L56" s="36">
        <f t="shared" ref="L56:L61" si="9">COUNTIF(H56:J56, "1")</f>
        <v>1</v>
      </c>
    </row>
    <row r="57" ht="14.25" customHeight="1">
      <c r="F57" s="33" t="s">
        <v>64</v>
      </c>
      <c r="G57" s="34" t="s">
        <v>66</v>
      </c>
      <c r="H57" s="32"/>
      <c r="I57" s="32"/>
      <c r="J57" s="32">
        <v>1.0</v>
      </c>
      <c r="L57" s="36">
        <f t="shared" si="9"/>
        <v>1</v>
      </c>
    </row>
    <row r="58" ht="14.25" customHeight="1">
      <c r="F58" s="33" t="s">
        <v>64</v>
      </c>
      <c r="G58" s="34" t="s">
        <v>67</v>
      </c>
      <c r="H58" s="32"/>
      <c r="I58" s="32"/>
      <c r="J58" s="32">
        <v>1.0</v>
      </c>
      <c r="L58" s="36">
        <f t="shared" si="9"/>
        <v>1</v>
      </c>
    </row>
    <row r="59" ht="14.25" customHeight="1">
      <c r="F59" s="33" t="s">
        <v>64</v>
      </c>
      <c r="G59" s="34" t="s">
        <v>68</v>
      </c>
      <c r="H59" s="32"/>
      <c r="I59" s="32"/>
      <c r="J59" s="32">
        <v>1.0</v>
      </c>
      <c r="L59" s="36">
        <f t="shared" si="9"/>
        <v>1</v>
      </c>
    </row>
    <row r="60" ht="14.25" customHeight="1">
      <c r="F60" s="33" t="s">
        <v>64</v>
      </c>
      <c r="G60" s="34" t="s">
        <v>69</v>
      </c>
      <c r="H60" s="32"/>
      <c r="I60" s="32"/>
      <c r="J60" s="32">
        <v>1.0</v>
      </c>
      <c r="L60" s="36">
        <f t="shared" si="9"/>
        <v>1</v>
      </c>
    </row>
    <row r="61" ht="14.25" customHeight="1">
      <c r="F61" s="33" t="s">
        <v>64</v>
      </c>
      <c r="G61" s="34" t="s">
        <v>70</v>
      </c>
      <c r="H61" s="32"/>
      <c r="I61" s="32"/>
      <c r="J61" s="32">
        <v>1.0</v>
      </c>
      <c r="L61" s="36">
        <f t="shared" si="9"/>
        <v>1</v>
      </c>
    </row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">
    <mergeCell ref="E2:E3"/>
    <mergeCell ref="B2:C2"/>
  </mergeCells>
  <conditionalFormatting sqref="C3:C6 J8:J43 H10:I43 H45:J48 H51:J53 H56:J61">
    <cfRule type="cellIs" dxfId="0" priority="1" operator="equal">
      <formula>1</formula>
    </cfRule>
  </conditionalFormatting>
  <conditionalFormatting sqref="C3:C6 J8:J43 H10:I43 H45:J48 H51:J53 H56:J61">
    <cfRule type="cellIs" dxfId="1" priority="2" operator="equal">
      <formula>2</formula>
    </cfRule>
  </conditionalFormatting>
  <conditionalFormatting sqref="C3:C6 J8:J43 H10:I43 H45:J48 H51:J53 H56:J61">
    <cfRule type="cellIs" dxfId="2" priority="3" operator="equal">
      <formula>3</formula>
    </cfRule>
  </conditionalFormatting>
  <conditionalFormatting sqref="C3:C6 J8:J43 H10:I43 H45:J48 H51:J53 H56:J61">
    <cfRule type="containsBlanks" dxfId="3" priority="4">
      <formula>LEN(TRIM(C3))=0</formula>
    </cfRule>
  </conditionalFormatting>
  <conditionalFormatting sqref="N10">
    <cfRule type="notContainsBlanks" dxfId="4" priority="5">
      <formula>LEN(TRIM(N10))&gt;0</formula>
    </cfRule>
  </conditionalFormatting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2025-08-03T12:22:45Z</dcterms:created>
  <dc:creator>Susan Esparrago</dc:creator>
</cp:coreProperties>
</file>